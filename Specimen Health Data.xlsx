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7790" activeTab="1"/>
  </bookViews>
  <sheets>
    <sheet name="Data" sheetId="2" r:id="rId1"/>
    <sheet name="Brute" sheetId="6" r:id="rId2"/>
    <sheet name="Dark Brute" sheetId="7" r:id="rId3"/>
    <sheet name="Scrake" sheetId="4" r:id="rId4"/>
    <sheet name="Jason" sheetId="3" r:id="rId5"/>
    <sheet name="Butcher" sheetId="5" r:id="rId6"/>
    <sheet name="Flesh Pound" sheetId="8" r:id="rId7"/>
    <sheet name="Flesh Pummel" sheetId="9" r:id="rId8"/>
  </sheets>
  <calcPr calcId="152511"/>
</workbook>
</file>

<file path=xl/calcChain.xml><?xml version="1.0" encoding="utf-8"?>
<calcChain xmlns="http://schemas.openxmlformats.org/spreadsheetml/2006/main">
  <c r="F21" i="9" l="1"/>
  <c r="J21" i="9" s="1"/>
  <c r="E21" i="9"/>
  <c r="I21" i="9" s="1"/>
  <c r="F20" i="9"/>
  <c r="J20" i="9" s="1"/>
  <c r="E20" i="9"/>
  <c r="I20" i="9" s="1"/>
  <c r="F19" i="9"/>
  <c r="J19" i="9" s="1"/>
  <c r="E19" i="9"/>
  <c r="I19" i="9" s="1"/>
  <c r="F18" i="9"/>
  <c r="J18" i="9" s="1"/>
  <c r="E18" i="9"/>
  <c r="I18" i="9" s="1"/>
  <c r="F17" i="9"/>
  <c r="J17" i="9" s="1"/>
  <c r="E17" i="9"/>
  <c r="I17" i="9" s="1"/>
  <c r="F16" i="9"/>
  <c r="J16" i="9" s="1"/>
  <c r="E16" i="9"/>
  <c r="I16" i="9" s="1"/>
  <c r="F15" i="9"/>
  <c r="J15" i="9" s="1"/>
  <c r="E15" i="9"/>
  <c r="I15" i="9" s="1"/>
  <c r="F14" i="9"/>
  <c r="J14" i="9" s="1"/>
  <c r="E14" i="9"/>
  <c r="I14" i="9" s="1"/>
  <c r="F13" i="9"/>
  <c r="J13" i="9" s="1"/>
  <c r="E13" i="9"/>
  <c r="I13" i="9" s="1"/>
  <c r="F12" i="9"/>
  <c r="J12" i="9" s="1"/>
  <c r="E12" i="9"/>
  <c r="I12" i="9" s="1"/>
  <c r="F11" i="9"/>
  <c r="J11" i="9" s="1"/>
  <c r="E11" i="9"/>
  <c r="I11" i="9" s="1"/>
  <c r="F10" i="9"/>
  <c r="J10" i="9" s="1"/>
  <c r="E10" i="9"/>
  <c r="I10" i="9" s="1"/>
  <c r="F9" i="9"/>
  <c r="J9" i="9" s="1"/>
  <c r="E9" i="9"/>
  <c r="I9" i="9" s="1"/>
  <c r="F8" i="9"/>
  <c r="J8" i="9" s="1"/>
  <c r="E8" i="9"/>
  <c r="I8" i="9" s="1"/>
  <c r="F7" i="9"/>
  <c r="J7" i="9" s="1"/>
  <c r="E7" i="9"/>
  <c r="I7" i="9" s="1"/>
  <c r="F6" i="9"/>
  <c r="J6" i="9" s="1"/>
  <c r="E6" i="9"/>
  <c r="I6" i="9" s="1"/>
  <c r="F5" i="9"/>
  <c r="J5" i="9" s="1"/>
  <c r="E5" i="9"/>
  <c r="I5" i="9" s="1"/>
  <c r="F4" i="9"/>
  <c r="J4" i="9" s="1"/>
  <c r="E4" i="9"/>
  <c r="I4" i="9" s="1"/>
  <c r="F3" i="9"/>
  <c r="J3" i="9" s="1"/>
  <c r="E3" i="9"/>
  <c r="I3" i="9" s="1"/>
  <c r="J2" i="9"/>
  <c r="I2" i="9"/>
  <c r="H2" i="9"/>
  <c r="G2" i="9"/>
  <c r="F21" i="8"/>
  <c r="J21" i="8" s="1"/>
  <c r="E21" i="8"/>
  <c r="G21" i="8" s="1"/>
  <c r="F20" i="8"/>
  <c r="J20" i="8" s="1"/>
  <c r="E20" i="8"/>
  <c r="I20" i="8" s="1"/>
  <c r="F19" i="8"/>
  <c r="J19" i="8" s="1"/>
  <c r="E19" i="8"/>
  <c r="G19" i="8" s="1"/>
  <c r="F18" i="8"/>
  <c r="H18" i="8" s="1"/>
  <c r="E18" i="8"/>
  <c r="I18" i="8" s="1"/>
  <c r="F17" i="8"/>
  <c r="J17" i="8" s="1"/>
  <c r="E17" i="8"/>
  <c r="G17" i="8" s="1"/>
  <c r="F16" i="8"/>
  <c r="J16" i="8" s="1"/>
  <c r="E16" i="8"/>
  <c r="G16" i="8" s="1"/>
  <c r="F15" i="8"/>
  <c r="H15" i="8" s="1"/>
  <c r="E15" i="8"/>
  <c r="G15" i="8" s="1"/>
  <c r="F14" i="8"/>
  <c r="J14" i="8" s="1"/>
  <c r="E14" i="8"/>
  <c r="I14" i="8" s="1"/>
  <c r="F13" i="8"/>
  <c r="J13" i="8" s="1"/>
  <c r="E13" i="8"/>
  <c r="G13" i="8" s="1"/>
  <c r="F12" i="8"/>
  <c r="J12" i="8" s="1"/>
  <c r="E12" i="8"/>
  <c r="I12" i="8" s="1"/>
  <c r="F11" i="8"/>
  <c r="J11" i="8" s="1"/>
  <c r="E11" i="8"/>
  <c r="G11" i="8" s="1"/>
  <c r="F10" i="8"/>
  <c r="J10" i="8" s="1"/>
  <c r="E10" i="8"/>
  <c r="I10" i="8" s="1"/>
  <c r="F9" i="8"/>
  <c r="J9" i="8" s="1"/>
  <c r="E9" i="8"/>
  <c r="G9" i="8" s="1"/>
  <c r="F8" i="8"/>
  <c r="J8" i="8" s="1"/>
  <c r="E8" i="8"/>
  <c r="G8" i="8" s="1"/>
  <c r="F7" i="8"/>
  <c r="J7" i="8" s="1"/>
  <c r="E7" i="8"/>
  <c r="G7" i="8" s="1"/>
  <c r="F6" i="8"/>
  <c r="J6" i="8" s="1"/>
  <c r="E6" i="8"/>
  <c r="I6" i="8" s="1"/>
  <c r="F5" i="8"/>
  <c r="J5" i="8" s="1"/>
  <c r="E5" i="8"/>
  <c r="G5" i="8" s="1"/>
  <c r="F4" i="8"/>
  <c r="J4" i="8" s="1"/>
  <c r="E4" i="8"/>
  <c r="I4" i="8" s="1"/>
  <c r="F3" i="8"/>
  <c r="J3" i="8" s="1"/>
  <c r="E3" i="8"/>
  <c r="G3" i="8" s="1"/>
  <c r="J2" i="8"/>
  <c r="I2" i="8"/>
  <c r="H2" i="8"/>
  <c r="G2" i="8"/>
  <c r="F21" i="7"/>
  <c r="J21" i="7" s="1"/>
  <c r="E21" i="7"/>
  <c r="I21" i="7" s="1"/>
  <c r="F20" i="7"/>
  <c r="J20" i="7" s="1"/>
  <c r="E20" i="7"/>
  <c r="G20" i="7" s="1"/>
  <c r="F19" i="7"/>
  <c r="J19" i="7" s="1"/>
  <c r="E19" i="7"/>
  <c r="I19" i="7" s="1"/>
  <c r="F18" i="7"/>
  <c r="J18" i="7" s="1"/>
  <c r="E18" i="7"/>
  <c r="G18" i="7" s="1"/>
  <c r="F17" i="7"/>
  <c r="J17" i="7" s="1"/>
  <c r="E17" i="7"/>
  <c r="I17" i="7" s="1"/>
  <c r="F16" i="7"/>
  <c r="H16" i="7" s="1"/>
  <c r="E16" i="7"/>
  <c r="G16" i="7" s="1"/>
  <c r="F15" i="7"/>
  <c r="J15" i="7" s="1"/>
  <c r="E15" i="7"/>
  <c r="I15" i="7" s="1"/>
  <c r="F14" i="7"/>
  <c r="H14" i="7" s="1"/>
  <c r="E14" i="7"/>
  <c r="G14" i="7" s="1"/>
  <c r="F13" i="7"/>
  <c r="J13" i="7" s="1"/>
  <c r="E13" i="7"/>
  <c r="I13" i="7" s="1"/>
  <c r="F12" i="7"/>
  <c r="H12" i="7" s="1"/>
  <c r="E12" i="7"/>
  <c r="G12" i="7" s="1"/>
  <c r="F11" i="7"/>
  <c r="J11" i="7" s="1"/>
  <c r="E11" i="7"/>
  <c r="I11" i="7" s="1"/>
  <c r="F10" i="7"/>
  <c r="J10" i="7" s="1"/>
  <c r="E10" i="7"/>
  <c r="I10" i="7" s="1"/>
  <c r="F9" i="7"/>
  <c r="J9" i="7" s="1"/>
  <c r="E9" i="7"/>
  <c r="I9" i="7" s="1"/>
  <c r="F8" i="7"/>
  <c r="H8" i="7" s="1"/>
  <c r="E8" i="7"/>
  <c r="I8" i="7" s="1"/>
  <c r="F7" i="7"/>
  <c r="J7" i="7" s="1"/>
  <c r="E7" i="7"/>
  <c r="I7" i="7" s="1"/>
  <c r="F6" i="7"/>
  <c r="H6" i="7" s="1"/>
  <c r="E6" i="7"/>
  <c r="I6" i="7" s="1"/>
  <c r="F5" i="7"/>
  <c r="J5" i="7" s="1"/>
  <c r="E5" i="7"/>
  <c r="I5" i="7" s="1"/>
  <c r="F4" i="7"/>
  <c r="H4" i="7" s="1"/>
  <c r="E4" i="7"/>
  <c r="G4" i="7" s="1"/>
  <c r="F3" i="7"/>
  <c r="J3" i="7" s="1"/>
  <c r="E3" i="7"/>
  <c r="I3" i="7" s="1"/>
  <c r="J2" i="7"/>
  <c r="I2" i="7"/>
  <c r="H2" i="7"/>
  <c r="G2" i="7"/>
  <c r="F21" i="6"/>
  <c r="J21" i="6" s="1"/>
  <c r="E21" i="6"/>
  <c r="I21" i="6" s="1"/>
  <c r="F20" i="6"/>
  <c r="J20" i="6" s="1"/>
  <c r="E20" i="6"/>
  <c r="I20" i="6" s="1"/>
  <c r="F19" i="6"/>
  <c r="J19" i="6" s="1"/>
  <c r="E19" i="6"/>
  <c r="I19" i="6" s="1"/>
  <c r="F18" i="6"/>
  <c r="H18" i="6" s="1"/>
  <c r="E18" i="6"/>
  <c r="I18" i="6" s="1"/>
  <c r="F17" i="6"/>
  <c r="J17" i="6" s="1"/>
  <c r="E17" i="6"/>
  <c r="I17" i="6" s="1"/>
  <c r="F16" i="6"/>
  <c r="H16" i="6" s="1"/>
  <c r="E16" i="6"/>
  <c r="G16" i="6" s="1"/>
  <c r="F15" i="6"/>
  <c r="J15" i="6" s="1"/>
  <c r="E15" i="6"/>
  <c r="I15" i="6" s="1"/>
  <c r="F14" i="6"/>
  <c r="H14" i="6" s="1"/>
  <c r="E14" i="6"/>
  <c r="G14" i="6" s="1"/>
  <c r="F13" i="6"/>
  <c r="J13" i="6" s="1"/>
  <c r="E13" i="6"/>
  <c r="I13" i="6" s="1"/>
  <c r="F12" i="6"/>
  <c r="H12" i="6" s="1"/>
  <c r="E12" i="6"/>
  <c r="G12" i="6" s="1"/>
  <c r="F11" i="6"/>
  <c r="J11" i="6" s="1"/>
  <c r="E11" i="6"/>
  <c r="I11" i="6" s="1"/>
  <c r="F10" i="6"/>
  <c r="J10" i="6" s="1"/>
  <c r="E10" i="6"/>
  <c r="I10" i="6" s="1"/>
  <c r="F9" i="6"/>
  <c r="J9" i="6" s="1"/>
  <c r="E9" i="6"/>
  <c r="I9" i="6" s="1"/>
  <c r="F8" i="6"/>
  <c r="H8" i="6" s="1"/>
  <c r="E8" i="6"/>
  <c r="I8" i="6" s="1"/>
  <c r="F7" i="6"/>
  <c r="J7" i="6" s="1"/>
  <c r="E7" i="6"/>
  <c r="I7" i="6" s="1"/>
  <c r="F6" i="6"/>
  <c r="H6" i="6" s="1"/>
  <c r="E6" i="6"/>
  <c r="I6" i="6" s="1"/>
  <c r="F5" i="6"/>
  <c r="J5" i="6" s="1"/>
  <c r="E5" i="6"/>
  <c r="I5" i="6" s="1"/>
  <c r="F4" i="6"/>
  <c r="J4" i="6" s="1"/>
  <c r="E4" i="6"/>
  <c r="I4" i="6" s="1"/>
  <c r="F3" i="6"/>
  <c r="J3" i="6" s="1"/>
  <c r="E3" i="6"/>
  <c r="I3" i="6" s="1"/>
  <c r="J2" i="6"/>
  <c r="I2" i="6"/>
  <c r="H2" i="6"/>
  <c r="G2" i="6"/>
  <c r="F21" i="5"/>
  <c r="J21" i="5" s="1"/>
  <c r="E21" i="5"/>
  <c r="I21" i="5" s="1"/>
  <c r="F20" i="5"/>
  <c r="J20" i="5" s="1"/>
  <c r="E20" i="5"/>
  <c r="I20" i="5" s="1"/>
  <c r="F19" i="5"/>
  <c r="J19" i="5" s="1"/>
  <c r="E19" i="5"/>
  <c r="G19" i="5" s="1"/>
  <c r="F18" i="5"/>
  <c r="J18" i="5" s="1"/>
  <c r="E18" i="5"/>
  <c r="G18" i="5" s="1"/>
  <c r="F17" i="5"/>
  <c r="J17" i="5" s="1"/>
  <c r="E17" i="5"/>
  <c r="I17" i="5" s="1"/>
  <c r="F16" i="5"/>
  <c r="J16" i="5" s="1"/>
  <c r="E16" i="5"/>
  <c r="G16" i="5" s="1"/>
  <c r="F15" i="5"/>
  <c r="J15" i="5" s="1"/>
  <c r="E15" i="5"/>
  <c r="G15" i="5" s="1"/>
  <c r="F14" i="5"/>
  <c r="H14" i="5" s="1"/>
  <c r="E14" i="5"/>
  <c r="G14" i="5" s="1"/>
  <c r="F13" i="5"/>
  <c r="J13" i="5" s="1"/>
  <c r="E13" i="5"/>
  <c r="I13" i="5" s="1"/>
  <c r="F12" i="5"/>
  <c r="J12" i="5" s="1"/>
  <c r="E12" i="5"/>
  <c r="I12" i="5" s="1"/>
  <c r="F11" i="5"/>
  <c r="J11" i="5" s="1"/>
  <c r="E11" i="5"/>
  <c r="G11" i="5" s="1"/>
  <c r="F10" i="5"/>
  <c r="J10" i="5" s="1"/>
  <c r="E10" i="5"/>
  <c r="G10" i="5" s="1"/>
  <c r="F9" i="5"/>
  <c r="J9" i="5" s="1"/>
  <c r="E9" i="5"/>
  <c r="I9" i="5" s="1"/>
  <c r="F8" i="5"/>
  <c r="J8" i="5" s="1"/>
  <c r="E8" i="5"/>
  <c r="G8" i="5" s="1"/>
  <c r="F7" i="5"/>
  <c r="J7" i="5" s="1"/>
  <c r="E7" i="5"/>
  <c r="I7" i="5" s="1"/>
  <c r="F6" i="5"/>
  <c r="H6" i="5" s="1"/>
  <c r="E6" i="5"/>
  <c r="I6" i="5" s="1"/>
  <c r="F5" i="5"/>
  <c r="J5" i="5" s="1"/>
  <c r="E5" i="5"/>
  <c r="I5" i="5" s="1"/>
  <c r="F4" i="5"/>
  <c r="J4" i="5" s="1"/>
  <c r="E4" i="5"/>
  <c r="G4" i="5" s="1"/>
  <c r="F3" i="5"/>
  <c r="J3" i="5" s="1"/>
  <c r="E3" i="5"/>
  <c r="I3" i="5" s="1"/>
  <c r="J2" i="5"/>
  <c r="I2" i="5"/>
  <c r="H2" i="5"/>
  <c r="G2" i="5"/>
  <c r="E3" i="4"/>
  <c r="G3" i="4" s="1"/>
  <c r="F21" i="4"/>
  <c r="J21" i="4" s="1"/>
  <c r="E21" i="4"/>
  <c r="I21" i="4" s="1"/>
  <c r="F20" i="4"/>
  <c r="J20" i="4" s="1"/>
  <c r="E20" i="4"/>
  <c r="I20" i="4" s="1"/>
  <c r="F19" i="4"/>
  <c r="J19" i="4" s="1"/>
  <c r="E19" i="4"/>
  <c r="I19" i="4" s="1"/>
  <c r="F18" i="4"/>
  <c r="J18" i="4" s="1"/>
  <c r="E18" i="4"/>
  <c r="G18" i="4" s="1"/>
  <c r="F17" i="4"/>
  <c r="J17" i="4" s="1"/>
  <c r="E17" i="4"/>
  <c r="I17" i="4" s="1"/>
  <c r="F16" i="4"/>
  <c r="J16" i="4" s="1"/>
  <c r="E16" i="4"/>
  <c r="G16" i="4" s="1"/>
  <c r="F15" i="4"/>
  <c r="J15" i="4" s="1"/>
  <c r="E15" i="4"/>
  <c r="I15" i="4" s="1"/>
  <c r="F14" i="4"/>
  <c r="H14" i="4" s="1"/>
  <c r="E14" i="4"/>
  <c r="G14" i="4" s="1"/>
  <c r="F13" i="4"/>
  <c r="J13" i="4" s="1"/>
  <c r="E13" i="4"/>
  <c r="G13" i="4" s="1"/>
  <c r="F12" i="4"/>
  <c r="H12" i="4" s="1"/>
  <c r="E12" i="4"/>
  <c r="I12" i="4" s="1"/>
  <c r="F11" i="4"/>
  <c r="J11" i="4" s="1"/>
  <c r="E11" i="4"/>
  <c r="I11" i="4" s="1"/>
  <c r="F10" i="4"/>
  <c r="H10" i="4" s="1"/>
  <c r="E10" i="4"/>
  <c r="G10" i="4" s="1"/>
  <c r="F9" i="4"/>
  <c r="J9" i="4" s="1"/>
  <c r="E9" i="4"/>
  <c r="I9" i="4" s="1"/>
  <c r="F8" i="4"/>
  <c r="H8" i="4" s="1"/>
  <c r="E8" i="4"/>
  <c r="G8" i="4" s="1"/>
  <c r="F7" i="4"/>
  <c r="J7" i="4" s="1"/>
  <c r="E7" i="4"/>
  <c r="I7" i="4" s="1"/>
  <c r="F6" i="4"/>
  <c r="J6" i="4" s="1"/>
  <c r="E6" i="4"/>
  <c r="G6" i="4" s="1"/>
  <c r="F5" i="4"/>
  <c r="J5" i="4" s="1"/>
  <c r="E5" i="4"/>
  <c r="I5" i="4" s="1"/>
  <c r="F4" i="4"/>
  <c r="J4" i="4" s="1"/>
  <c r="E4" i="4"/>
  <c r="G4" i="4" s="1"/>
  <c r="F3" i="4"/>
  <c r="J3" i="4" s="1"/>
  <c r="J2" i="4"/>
  <c r="I2" i="4"/>
  <c r="H2" i="4"/>
  <c r="G2" i="4"/>
  <c r="G3" i="3"/>
  <c r="F4" i="3"/>
  <c r="F5" i="3"/>
  <c r="F6" i="3"/>
  <c r="F7" i="3"/>
  <c r="F8" i="3"/>
  <c r="F9" i="3"/>
  <c r="J9" i="3" s="1"/>
  <c r="F10" i="3"/>
  <c r="H10" i="3" s="1"/>
  <c r="F11" i="3"/>
  <c r="J11" i="3" s="1"/>
  <c r="F12" i="3"/>
  <c r="F13" i="3"/>
  <c r="J13" i="3" s="1"/>
  <c r="F14" i="3"/>
  <c r="H14" i="3" s="1"/>
  <c r="F15" i="3"/>
  <c r="J15" i="3" s="1"/>
  <c r="F16" i="3"/>
  <c r="F17" i="3"/>
  <c r="F18" i="3"/>
  <c r="F19" i="3"/>
  <c r="F20" i="3"/>
  <c r="F21" i="3"/>
  <c r="J21" i="3" s="1"/>
  <c r="F3" i="3"/>
  <c r="J3" i="3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3" i="3"/>
  <c r="J20" i="3"/>
  <c r="J19" i="3"/>
  <c r="H18" i="3"/>
  <c r="J17" i="3"/>
  <c r="H16" i="3"/>
  <c r="H12" i="3"/>
  <c r="J8" i="3"/>
  <c r="J7" i="3"/>
  <c r="H6" i="3"/>
  <c r="J5" i="3"/>
  <c r="J4" i="3"/>
  <c r="J2" i="3"/>
  <c r="I2" i="3"/>
  <c r="H2" i="3"/>
  <c r="G2" i="3"/>
  <c r="H10" i="9" l="1"/>
  <c r="H16" i="9"/>
  <c r="H12" i="9"/>
  <c r="H18" i="9"/>
  <c r="H8" i="9"/>
  <c r="H14" i="9"/>
  <c r="H4" i="9"/>
  <c r="H20" i="9"/>
  <c r="H6" i="9"/>
  <c r="G18" i="9"/>
  <c r="G10" i="9"/>
  <c r="G14" i="9"/>
  <c r="G4" i="9"/>
  <c r="G8" i="9"/>
  <c r="G12" i="9"/>
  <c r="G16" i="9"/>
  <c r="G20" i="9"/>
  <c r="G6" i="9"/>
  <c r="G3" i="9"/>
  <c r="G5" i="9"/>
  <c r="G7" i="9"/>
  <c r="G9" i="9"/>
  <c r="G11" i="9"/>
  <c r="G13" i="9"/>
  <c r="G15" i="9"/>
  <c r="G17" i="9"/>
  <c r="G19" i="9"/>
  <c r="G21" i="9"/>
  <c r="H3" i="9"/>
  <c r="H5" i="9"/>
  <c r="H7" i="9"/>
  <c r="H9" i="9"/>
  <c r="H11" i="9"/>
  <c r="H13" i="9"/>
  <c r="H15" i="9"/>
  <c r="H17" i="9"/>
  <c r="H19" i="9"/>
  <c r="H21" i="9"/>
  <c r="I5" i="8"/>
  <c r="H13" i="8"/>
  <c r="H9" i="8"/>
  <c r="I15" i="8"/>
  <c r="H11" i="8"/>
  <c r="H19" i="8"/>
  <c r="J15" i="8"/>
  <c r="H7" i="8"/>
  <c r="H3" i="8"/>
  <c r="H5" i="8"/>
  <c r="H17" i="8"/>
  <c r="H21" i="8"/>
  <c r="I3" i="8"/>
  <c r="I9" i="8"/>
  <c r="I17" i="8"/>
  <c r="I13" i="8"/>
  <c r="I7" i="8"/>
  <c r="I21" i="8"/>
  <c r="I19" i="8"/>
  <c r="I11" i="8"/>
  <c r="G4" i="8"/>
  <c r="G6" i="8"/>
  <c r="G10" i="8"/>
  <c r="G12" i="8"/>
  <c r="G14" i="8"/>
  <c r="G20" i="8"/>
  <c r="H4" i="8"/>
  <c r="H6" i="8"/>
  <c r="H8" i="8"/>
  <c r="H10" i="8"/>
  <c r="H12" i="8"/>
  <c r="H14" i="8"/>
  <c r="H16" i="8"/>
  <c r="H20" i="8"/>
  <c r="I8" i="8"/>
  <c r="I16" i="8"/>
  <c r="J18" i="8"/>
  <c r="G18" i="8"/>
  <c r="H20" i="7"/>
  <c r="H18" i="7"/>
  <c r="G10" i="7"/>
  <c r="H10" i="7"/>
  <c r="I12" i="7"/>
  <c r="I14" i="7"/>
  <c r="I16" i="7"/>
  <c r="I18" i="7"/>
  <c r="I20" i="7"/>
  <c r="G6" i="7"/>
  <c r="J4" i="7"/>
  <c r="J6" i="7"/>
  <c r="J8" i="7"/>
  <c r="J12" i="7"/>
  <c r="J14" i="7"/>
  <c r="J16" i="7"/>
  <c r="G8" i="7"/>
  <c r="G3" i="7"/>
  <c r="G5" i="7"/>
  <c r="G7" i="7"/>
  <c r="G9" i="7"/>
  <c r="G11" i="7"/>
  <c r="G13" i="7"/>
  <c r="G15" i="7"/>
  <c r="G17" i="7"/>
  <c r="G19" i="7"/>
  <c r="G21" i="7"/>
  <c r="I4" i="7"/>
  <c r="H3" i="7"/>
  <c r="H5" i="7"/>
  <c r="H7" i="7"/>
  <c r="H9" i="7"/>
  <c r="H11" i="7"/>
  <c r="H13" i="7"/>
  <c r="H15" i="7"/>
  <c r="H17" i="7"/>
  <c r="H19" i="7"/>
  <c r="H21" i="7"/>
  <c r="G8" i="6"/>
  <c r="G18" i="6"/>
  <c r="G20" i="6"/>
  <c r="H4" i="6"/>
  <c r="H10" i="6"/>
  <c r="I12" i="6"/>
  <c r="I14" i="6"/>
  <c r="I16" i="6"/>
  <c r="G10" i="6"/>
  <c r="H20" i="6"/>
  <c r="J6" i="6"/>
  <c r="J8" i="6"/>
  <c r="J12" i="6"/>
  <c r="J14" i="6"/>
  <c r="J16" i="6"/>
  <c r="J18" i="6"/>
  <c r="G6" i="6"/>
  <c r="G4" i="6"/>
  <c r="G3" i="6"/>
  <c r="G5" i="6"/>
  <c r="G7" i="6"/>
  <c r="G9" i="6"/>
  <c r="G11" i="6"/>
  <c r="G13" i="6"/>
  <c r="G15" i="6"/>
  <c r="G17" i="6"/>
  <c r="G19" i="6"/>
  <c r="G21" i="6"/>
  <c r="H3" i="6"/>
  <c r="H5" i="6"/>
  <c r="H7" i="6"/>
  <c r="H9" i="6"/>
  <c r="H11" i="6"/>
  <c r="H13" i="6"/>
  <c r="H15" i="6"/>
  <c r="H17" i="6"/>
  <c r="H19" i="6"/>
  <c r="H21" i="6"/>
  <c r="G20" i="5"/>
  <c r="H4" i="5"/>
  <c r="H18" i="5"/>
  <c r="I4" i="5"/>
  <c r="I14" i="5"/>
  <c r="J6" i="5"/>
  <c r="G6" i="5"/>
  <c r="G12" i="5"/>
  <c r="I8" i="5"/>
  <c r="I16" i="5"/>
  <c r="H16" i="5"/>
  <c r="I10" i="5"/>
  <c r="I18" i="5"/>
  <c r="J14" i="5"/>
  <c r="G7" i="5"/>
  <c r="G17" i="5"/>
  <c r="G21" i="5"/>
  <c r="H10" i="5"/>
  <c r="H20" i="5"/>
  <c r="G5" i="5"/>
  <c r="G13" i="5"/>
  <c r="H3" i="5"/>
  <c r="H5" i="5"/>
  <c r="H7" i="5"/>
  <c r="H9" i="5"/>
  <c r="H11" i="5"/>
  <c r="H13" i="5"/>
  <c r="H15" i="5"/>
  <c r="H17" i="5"/>
  <c r="H19" i="5"/>
  <c r="H21" i="5"/>
  <c r="H12" i="5"/>
  <c r="G9" i="5"/>
  <c r="I11" i="5"/>
  <c r="I15" i="5"/>
  <c r="I19" i="5"/>
  <c r="H8" i="5"/>
  <c r="G3" i="5"/>
  <c r="G12" i="4"/>
  <c r="H16" i="4"/>
  <c r="H18" i="4"/>
  <c r="H20" i="4"/>
  <c r="G20" i="4"/>
  <c r="I4" i="4"/>
  <c r="I6" i="4"/>
  <c r="I8" i="4"/>
  <c r="I10" i="4"/>
  <c r="I14" i="4"/>
  <c r="I16" i="4"/>
  <c r="I18" i="4"/>
  <c r="H4" i="4"/>
  <c r="J8" i="4"/>
  <c r="J10" i="4"/>
  <c r="J12" i="4"/>
  <c r="J14" i="4"/>
  <c r="H6" i="4"/>
  <c r="G7" i="4"/>
  <c r="G11" i="4"/>
  <c r="G15" i="4"/>
  <c r="G17" i="4"/>
  <c r="G19" i="4"/>
  <c r="G21" i="4"/>
  <c r="G5" i="4"/>
  <c r="H3" i="4"/>
  <c r="H5" i="4"/>
  <c r="H7" i="4"/>
  <c r="H9" i="4"/>
  <c r="H11" i="4"/>
  <c r="H13" i="4"/>
  <c r="H15" i="4"/>
  <c r="H17" i="4"/>
  <c r="H19" i="4"/>
  <c r="H21" i="4"/>
  <c r="G9" i="4"/>
  <c r="I3" i="4"/>
  <c r="I13" i="4"/>
  <c r="I4" i="3"/>
  <c r="I3" i="3"/>
  <c r="I5" i="3"/>
  <c r="H8" i="3"/>
  <c r="H20" i="3"/>
  <c r="J10" i="3"/>
  <c r="J14" i="3"/>
  <c r="J16" i="3"/>
  <c r="J18" i="3"/>
  <c r="I6" i="3"/>
  <c r="J6" i="3"/>
  <c r="G4" i="3"/>
  <c r="G5" i="3"/>
  <c r="H3" i="3"/>
  <c r="H5" i="3"/>
  <c r="H7" i="3"/>
  <c r="H9" i="3"/>
  <c r="H11" i="3"/>
  <c r="H13" i="3"/>
  <c r="H15" i="3"/>
  <c r="H17" i="3"/>
  <c r="H19" i="3"/>
  <c r="H21" i="3"/>
  <c r="H4" i="3"/>
  <c r="J12" i="3"/>
  <c r="G6" i="3" l="1"/>
  <c r="I7" i="3" l="1"/>
  <c r="G7" i="3"/>
  <c r="I8" i="3" l="1"/>
  <c r="G8" i="3"/>
  <c r="I9" i="3" l="1"/>
  <c r="G9" i="3"/>
  <c r="G10" i="3" l="1"/>
  <c r="I10" i="3"/>
  <c r="G11" i="3" l="1"/>
  <c r="I11" i="3"/>
  <c r="G12" i="3" l="1"/>
  <c r="I12" i="3"/>
  <c r="I13" i="3" l="1"/>
  <c r="G13" i="3"/>
  <c r="I14" i="3" l="1"/>
  <c r="G14" i="3"/>
  <c r="I15" i="3" l="1"/>
  <c r="G15" i="3"/>
  <c r="I16" i="3" l="1"/>
  <c r="G16" i="3"/>
  <c r="I17" i="3" l="1"/>
  <c r="G17" i="3"/>
  <c r="I18" i="3" l="1"/>
  <c r="G18" i="3"/>
  <c r="I19" i="3" l="1"/>
  <c r="G19" i="3"/>
  <c r="G20" i="3" l="1"/>
  <c r="I20" i="3"/>
  <c r="I21" i="3" l="1"/>
  <c r="G21" i="3"/>
</calcChain>
</file>

<file path=xl/sharedStrings.xml><?xml version="1.0" encoding="utf-8"?>
<sst xmlns="http://schemas.openxmlformats.org/spreadsheetml/2006/main" count="92" uniqueCount="26">
  <si>
    <t>Scrake</t>
  </si>
  <si>
    <t>Jason</t>
  </si>
  <si>
    <t>Butcher</t>
  </si>
  <si>
    <t>Flesh Pound</t>
  </si>
  <si>
    <t>Flesh Pummel</t>
  </si>
  <si>
    <t>Normal</t>
  </si>
  <si>
    <t>Head Health Increment</t>
  </si>
  <si>
    <t>Increment</t>
  </si>
  <si>
    <t>Hard</t>
  </si>
  <si>
    <t>HoE</t>
  </si>
  <si>
    <t>HP Mutliplier</t>
  </si>
  <si>
    <t>Total Health Increment</t>
  </si>
  <si>
    <t>Brute</t>
  </si>
  <si>
    <t>Dark Brute</t>
  </si>
  <si>
    <t>Head Health (Normal)</t>
  </si>
  <si>
    <t>Total Heath (Normal)</t>
  </si>
  <si>
    <t>Head Health (Hard)</t>
  </si>
  <si>
    <t>Total Health (Hard)</t>
  </si>
  <si>
    <t>Head Health (HoE)</t>
  </si>
  <si>
    <t>Total Health (HoE)</t>
  </si>
  <si>
    <t>Players</t>
  </si>
  <si>
    <t>Difficulty</t>
  </si>
  <si>
    <t xml:space="preserve"> </t>
  </si>
  <si>
    <t>Head Health</t>
  </si>
  <si>
    <t>Total Health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</si>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</sst>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1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E2:L4" totalsRowShown="0" headerRowDxfId="111" dataDxfId="112" headerRowBorderDxfId="122" tableBorderDxfId="123" totalsRowBorderDxfId="121">
  <autoFilter ref="E2:L4"/>
  <tableColumns count="8">
    <tableColumn id="1" name=" " dataDxfId="120"/>
    <tableColumn id="2" name="Brute" dataDxfId="119"/>
    <tableColumn id="3" name="Dark Brute" dataDxfId="118"/>
    <tableColumn id="4" name="Scrake" dataDxfId="117"/>
    <tableColumn id="5" name="Jason" dataDxfId="116"/>
    <tableColumn id="6" name="Butcher" dataDxfId="115"/>
    <tableColumn id="7" name="Flesh Pound" dataDxfId="114"/>
    <tableColumn id="8" name="Flesh Pummel" dataDxfId="1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2:C5" totalsRowShown="0" headerRowDxfId="105" headerRowBorderDxfId="109" tableBorderDxfId="110" totalsRowBorderDxfId="108">
  <autoFilter ref="B2:C5"/>
  <tableColumns count="2">
    <tableColumn id="1" name="Difficulty" dataDxfId="107"/>
    <tableColumn id="2" name="HP Mutliplier" dataDxfId="10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0" name="Table15711" displayName="Table15711" ref="D1:J21" totalsRowShown="0" dataDxfId="59" headerRowBorderDxfId="57" tableBorderDxfId="58" totalsRowBorderDxfId="56">
  <autoFilter ref="D1:J21"/>
  <tableColumns count="7">
    <tableColumn id="1" name="Players" dataDxfId="55"/>
    <tableColumn id="2" name="Head Health (Normal)" dataDxfId="54">
      <calculatedColumnFormula>Data!$H$3*(D2-1)+$E$2</calculatedColumnFormula>
    </tableColumn>
    <tableColumn id="3" name="Total Heath (Normal)" dataDxfId="53"/>
    <tableColumn id="4" name="Head Health (Hard)" dataDxfId="52"/>
    <tableColumn id="5" name="Total Health (Hard)" dataDxfId="51"/>
    <tableColumn id="6" name="Head Health (HoE)" dataDxfId="50"/>
    <tableColumn id="7" name="Total Health (HoE)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Table5812" displayName="Table5812" ref="A1:B3" totalsRowShown="0" headerRowDxfId="48" dataDxfId="47">
  <autoFilter ref="A1:B3"/>
  <tableColumns count="2">
    <tableColumn id="1" name="Health" dataDxfId="46"/>
    <tableColumn id="2" name="Increment" dataDxf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2" name="Table1571113" displayName="Table1571113" ref="D1:J21" totalsRowShown="0" dataDxfId="44" headerRowBorderDxfId="42" tableBorderDxfId="43" totalsRowBorderDxfId="41">
  <autoFilter ref="D1:J21"/>
  <tableColumns count="7">
    <tableColumn id="1" name="Players" dataDxfId="40"/>
    <tableColumn id="2" name="Head Health (Normal)" dataDxfId="39">
      <calculatedColumnFormula>Data!$H$3*(D2-1)+$E$2</calculatedColumnFormula>
    </tableColumn>
    <tableColumn id="3" name="Total Heath (Normal)" dataDxfId="38"/>
    <tableColumn id="4" name="Head Health (Hard)" dataDxfId="37"/>
    <tableColumn id="5" name="Total Health (Hard)" dataDxfId="36"/>
    <tableColumn id="6" name="Head Health (HoE)" dataDxfId="35"/>
    <tableColumn id="7" name="Total Health (HoE)" dataDxfId="3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3" name="Table581214" displayName="Table581214" ref="A1:B3" totalsRowShown="0" headerRowDxfId="33" dataDxfId="32">
  <autoFilter ref="A1:B3"/>
  <tableColumns count="2">
    <tableColumn id="1" name="Health" dataDxfId="31"/>
    <tableColumn id="2" name="Increment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" name="Table157" displayName="Table157" ref="D1:J21" totalsRowShown="0" dataDxfId="89" headerRowBorderDxfId="87" tableBorderDxfId="88" totalsRowBorderDxfId="86">
  <autoFilter ref="D1:J21"/>
  <tableColumns count="7">
    <tableColumn id="1" name="Players" dataDxfId="85"/>
    <tableColumn id="2" name="Head Health (Normal)" dataDxfId="84">
      <calculatedColumnFormula>Data!$H$3*(D2-1)+$E$2</calculatedColumnFormula>
    </tableColumn>
    <tableColumn id="3" name="Total Heath (Normal)" dataDxfId="83"/>
    <tableColumn id="4" name="Head Health (Hard)" dataDxfId="82"/>
    <tableColumn id="5" name="Total Health (Hard)" dataDxfId="81"/>
    <tableColumn id="6" name="Head Health (HoE)" dataDxfId="80"/>
    <tableColumn id="7" name="Total Health (HoE)" dataDxfId="7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Table58" displayName="Table58" ref="A1:B3" totalsRowShown="0" headerRowDxfId="78" dataDxfId="77">
  <autoFilter ref="A1:B3"/>
  <tableColumns count="2">
    <tableColumn id="1" name="Health" dataDxfId="76"/>
    <tableColumn id="2" name="Increment" dataDxfId="7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4" name="Table15" displayName="Table15" ref="D1:J21" totalsRowShown="0" dataDxfId="104" headerRowBorderDxfId="102" tableBorderDxfId="103" totalsRowBorderDxfId="101">
  <autoFilter ref="D1:J21"/>
  <tableColumns count="7">
    <tableColumn id="1" name="Players" dataDxfId="100"/>
    <tableColumn id="2" name="Head Health (Normal)" dataDxfId="99">
      <calculatedColumnFormula>Data!$H$3*(D2-1)+$E$2</calculatedColumnFormula>
    </tableColumn>
    <tableColumn id="3" name="Total Heath (Normal)" dataDxfId="98"/>
    <tableColumn id="4" name="Head Health (Hard)" dataDxfId="97"/>
    <tableColumn id="5" name="Total Health (Hard)" dataDxfId="96"/>
    <tableColumn id="6" name="Head Health (HoE)" dataDxfId="95"/>
    <tableColumn id="7" name="Total Health (HoE)" dataDxfId="9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5" name="Table5" displayName="Table5" ref="A1:B3" totalsRowShown="0" headerRowDxfId="90" dataDxfId="91">
  <autoFilter ref="A1:B3"/>
  <tableColumns count="2">
    <tableColumn id="1" name="Health" dataDxfId="93"/>
    <tableColumn id="2" name="Increment" dataDxfId="9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8" name="Table159" displayName="Table159" ref="D1:J21" totalsRowShown="0" dataDxfId="74" headerRowBorderDxfId="72" tableBorderDxfId="73" totalsRowBorderDxfId="71">
  <autoFilter ref="D1:J21"/>
  <tableColumns count="7">
    <tableColumn id="1" name="Players" dataDxfId="70"/>
    <tableColumn id="2" name="Head Health (Normal)" dataDxfId="69">
      <calculatedColumnFormula>Data!$H$3*(D2-1)+$E$2</calculatedColumnFormula>
    </tableColumn>
    <tableColumn id="3" name="Total Heath (Normal)" dataDxfId="68"/>
    <tableColumn id="4" name="Head Health (Hard)" dataDxfId="67"/>
    <tableColumn id="5" name="Total Health (Hard)" dataDxfId="66"/>
    <tableColumn id="6" name="Head Health (HoE)" dataDxfId="65"/>
    <tableColumn id="7" name="Total Health (HoE)" dataDxfId="6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9" name="Table510" displayName="Table510" ref="A1:B3" totalsRowShown="0" headerRowDxfId="63" dataDxfId="62">
  <autoFilter ref="A1:B3"/>
  <tableColumns count="2">
    <tableColumn id="1" name="Health" dataDxfId="61"/>
    <tableColumn id="2" name="Increment" dataDxfId="6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4" name="Table15915" displayName="Table15915" ref="D1:J21" totalsRowShown="0" dataDxfId="29" headerRowBorderDxfId="27" tableBorderDxfId="28" totalsRowBorderDxfId="26">
  <autoFilter ref="D1:J21"/>
  <tableColumns count="7">
    <tableColumn id="1" name="Players" dataDxfId="25"/>
    <tableColumn id="2" name="Head Health (Normal)" dataDxfId="24">
      <calculatedColumnFormula>Data!$H$3*(D2-1)+$E$2</calculatedColumnFormula>
    </tableColumn>
    <tableColumn id="3" name="Total Heath (Normal)" dataDxfId="23"/>
    <tableColumn id="4" name="Head Health (Hard)" dataDxfId="22"/>
    <tableColumn id="5" name="Total Health (Hard)" dataDxfId="21"/>
    <tableColumn id="6" name="Head Health (HoE)" dataDxfId="20"/>
    <tableColumn id="7" name="Total Health (HoE)" dataDxfId="1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5" name="Table51016" displayName="Table51016" ref="A1:B3" totalsRowShown="0" headerRowDxfId="18" dataDxfId="17">
  <autoFilter ref="A1:B3"/>
  <tableColumns count="2">
    <tableColumn id="1" name="Health" dataDxfId="16"/>
    <tableColumn id="2" name="Increment" dataDxfId="1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6" name="Table1591517" displayName="Table1591517" ref="D1:J21" totalsRowShown="0" dataDxfId="14" headerRowBorderDxfId="12" tableBorderDxfId="13" totalsRowBorderDxfId="11">
  <autoFilter ref="D1:J21"/>
  <tableColumns count="7">
    <tableColumn id="1" name="Players" dataDxfId="10"/>
    <tableColumn id="2" name="Head Health (Normal)" dataDxfId="9">
      <calculatedColumnFormula>Data!$H$3*(D2-1)+$E$2</calculatedColumnFormula>
    </tableColumn>
    <tableColumn id="3" name="Total Heath (Normal)" dataDxfId="8"/>
    <tableColumn id="4" name="Head Health (Hard)" dataDxfId="7"/>
    <tableColumn id="5" name="Total Health (Hard)" dataDxfId="6"/>
    <tableColumn id="6" name="Head Health (HoE)" dataDxfId="5"/>
    <tableColumn id="7" name="Total Health (HoE)" dataDxfId="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7" name="Table5101618" displayName="Table5101618" ref="A1:B3" totalsRowShown="0" headerRowDxfId="3" dataDxfId="2">
  <autoFilter ref="A1:B3"/>
  <tableColumns count="2">
    <tableColumn id="1" name="Health" dataDxfId="1"/>
    <tableColumn id="2" name="Incre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"/>
  <sheetViews>
    <sheetView workbookViewId="0">
      <selection activeCell="B25" sqref="B25:B26"/>
    </sheetView>
  </sheetViews>
  <sheetFormatPr defaultRowHeight="14.5" x14ac:dyDescent="0.35"/>
  <cols>
    <col min="1" max="1" width="8.7265625" style="1"/>
    <col min="2" max="2" width="11.90625" style="1" bestFit="1" customWidth="1"/>
    <col min="3" max="3" width="13.36328125" style="1" customWidth="1"/>
    <col min="4" max="4" width="8.7265625" style="1"/>
    <col min="5" max="5" width="20.08984375" style="1" bestFit="1" customWidth="1"/>
    <col min="6" max="6" width="9.08984375" style="1" bestFit="1" customWidth="1"/>
    <col min="7" max="7" width="13.54296875" style="1" bestFit="1" customWidth="1"/>
    <col min="8" max="8" width="9.90625" style="1" bestFit="1" customWidth="1"/>
    <col min="9" max="9" width="9.08984375" style="1" bestFit="1" customWidth="1"/>
    <col min="10" max="10" width="11" style="1" bestFit="1" customWidth="1"/>
    <col min="11" max="11" width="14.6328125" style="1" bestFit="1" customWidth="1"/>
    <col min="12" max="12" width="16.08984375" style="1" bestFit="1" customWidth="1"/>
    <col min="13" max="16384" width="8.7265625" style="1"/>
  </cols>
  <sheetData>
    <row r="2" spans="2:12" x14ac:dyDescent="0.35">
      <c r="B2" s="5" t="s">
        <v>21</v>
      </c>
      <c r="C2" s="14" t="s">
        <v>10</v>
      </c>
      <c r="E2" s="5" t="s">
        <v>22</v>
      </c>
      <c r="F2" s="13" t="s">
        <v>12</v>
      </c>
      <c r="G2" s="13" t="s">
        <v>13</v>
      </c>
      <c r="H2" s="13" t="s">
        <v>0</v>
      </c>
      <c r="I2" s="13" t="s">
        <v>1</v>
      </c>
      <c r="J2" s="13" t="s">
        <v>2</v>
      </c>
      <c r="K2" s="13" t="s">
        <v>3</v>
      </c>
      <c r="L2" s="14" t="s">
        <v>4</v>
      </c>
    </row>
    <row r="3" spans="2:12" x14ac:dyDescent="0.35">
      <c r="B3" s="3" t="s">
        <v>5</v>
      </c>
      <c r="C3" s="4">
        <v>1</v>
      </c>
      <c r="E3" s="3" t="s">
        <v>6</v>
      </c>
      <c r="F3" s="2">
        <v>112</v>
      </c>
      <c r="G3" s="2">
        <v>187</v>
      </c>
      <c r="H3" s="2">
        <v>195</v>
      </c>
      <c r="I3" s="2">
        <v>240</v>
      </c>
      <c r="J3" s="2">
        <v>285</v>
      </c>
      <c r="K3" s="2">
        <v>210</v>
      </c>
      <c r="L3" s="4">
        <v>240</v>
      </c>
    </row>
    <row r="4" spans="2:12" x14ac:dyDescent="0.35">
      <c r="B4" s="3" t="s">
        <v>8</v>
      </c>
      <c r="C4" s="4">
        <v>1.35</v>
      </c>
      <c r="E4" s="10" t="s">
        <v>11</v>
      </c>
      <c r="F4" s="11">
        <v>225</v>
      </c>
      <c r="G4" s="11">
        <v>250</v>
      </c>
      <c r="H4" s="11">
        <v>500</v>
      </c>
      <c r="I4" s="11">
        <v>750</v>
      </c>
      <c r="J4" s="11">
        <v>875</v>
      </c>
      <c r="K4" s="11">
        <v>375</v>
      </c>
      <c r="L4" s="12">
        <v>437</v>
      </c>
    </row>
    <row r="5" spans="2:12" x14ac:dyDescent="0.35">
      <c r="B5" s="10" t="s">
        <v>9</v>
      </c>
      <c r="C5" s="12">
        <v>1.75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F23" sqref="F23"/>
    </sheetView>
  </sheetViews>
  <sheetFormatPr defaultRowHeight="14.5" x14ac:dyDescent="0.35"/>
  <cols>
    <col min="1" max="1" width="11.08984375" style="1" bestFit="1" customWidth="1"/>
    <col min="2" max="2" width="13.08984375" style="1" customWidth="1"/>
    <col min="3" max="3" width="2" style="1" customWidth="1"/>
    <col min="4" max="4" width="10.453125" style="1" bestFit="1" customWidth="1"/>
    <col min="5" max="5" width="22.90625" style="1" bestFit="1" customWidth="1"/>
    <col min="6" max="6" width="22.36328125" style="1" bestFit="1" customWidth="1"/>
    <col min="7" max="7" width="20.81640625" style="1" bestFit="1" customWidth="1"/>
    <col min="8" max="8" width="20.7265625" style="1" bestFit="1" customWidth="1"/>
    <col min="9" max="9" width="20" style="1" bestFit="1" customWidth="1"/>
    <col min="10" max="10" width="19.90625" style="1" bestFit="1" customWidth="1"/>
    <col min="11" max="16384" width="8.7265625" style="1"/>
  </cols>
  <sheetData>
    <row r="1" spans="1:10" x14ac:dyDescent="0.35">
      <c r="A1" s="1" t="s">
        <v>25</v>
      </c>
      <c r="B1" s="1" t="s">
        <v>7</v>
      </c>
      <c r="D1" s="5" t="s">
        <v>20</v>
      </c>
      <c r="E1" s="6" t="s">
        <v>14</v>
      </c>
      <c r="F1" s="6" t="s">
        <v>15</v>
      </c>
      <c r="G1" s="7" t="s">
        <v>16</v>
      </c>
      <c r="H1" s="7" t="s">
        <v>17</v>
      </c>
      <c r="I1" s="8" t="s">
        <v>18</v>
      </c>
      <c r="J1" s="9" t="s">
        <v>19</v>
      </c>
    </row>
    <row r="2" spans="1:10" x14ac:dyDescent="0.35">
      <c r="A2" s="1" t="s">
        <v>23</v>
      </c>
      <c r="B2" s="1">
        <v>112</v>
      </c>
      <c r="D2" s="3">
        <v>1</v>
      </c>
      <c r="E2" s="2">
        <v>450</v>
      </c>
      <c r="F2" s="2">
        <v>900</v>
      </c>
      <c r="G2" s="2">
        <f>E2*Data!C4</f>
        <v>607.5</v>
      </c>
      <c r="H2" s="2">
        <f>F2*Data!C4</f>
        <v>1215</v>
      </c>
      <c r="I2" s="2">
        <f>E2*Data!C5</f>
        <v>787.5</v>
      </c>
      <c r="J2" s="4">
        <f>F2*Data!C5</f>
        <v>1575</v>
      </c>
    </row>
    <row r="3" spans="1:10" x14ac:dyDescent="0.35">
      <c r="A3" s="1" t="s">
        <v>24</v>
      </c>
      <c r="B3" s="1">
        <v>225</v>
      </c>
      <c r="D3" s="3">
        <v>2</v>
      </c>
      <c r="E3" s="2">
        <f>$B$2*(Table15711[[#This Row],[Players]]-1)+$E$2</f>
        <v>562</v>
      </c>
      <c r="F3" s="2">
        <f>$B$3*(Table15711[[#This Row],[Players]]-1)+$F$2</f>
        <v>1125</v>
      </c>
      <c r="G3" s="2">
        <f>E3*Data!$C$4</f>
        <v>758.7</v>
      </c>
      <c r="H3" s="2">
        <f>F3*Data!$C$4</f>
        <v>1518.75</v>
      </c>
      <c r="I3" s="2">
        <f>E3*Data!$C$5</f>
        <v>983.5</v>
      </c>
      <c r="J3" s="4">
        <f>F3*Data!$C$5</f>
        <v>1968.75</v>
      </c>
    </row>
    <row r="4" spans="1:10" x14ac:dyDescent="0.35">
      <c r="D4" s="3">
        <v>3</v>
      </c>
      <c r="E4" s="2">
        <f>$B$2*(Table15711[[#This Row],[Players]]-1)+$E$2</f>
        <v>674</v>
      </c>
      <c r="F4" s="2">
        <f>$B$3*(Table15711[[#This Row],[Players]]-1)+$F$2</f>
        <v>1350</v>
      </c>
      <c r="G4" s="2">
        <f>E4*Data!$C$4</f>
        <v>909.90000000000009</v>
      </c>
      <c r="H4" s="2">
        <f>F4*Data!$C$4</f>
        <v>1822.5000000000002</v>
      </c>
      <c r="I4" s="2">
        <f>E4*Data!$C$5</f>
        <v>1179.5</v>
      </c>
      <c r="J4" s="4">
        <f>F4*Data!$C$5</f>
        <v>2362.5</v>
      </c>
    </row>
    <row r="5" spans="1:10" x14ac:dyDescent="0.35">
      <c r="D5" s="3">
        <v>4</v>
      </c>
      <c r="E5" s="2">
        <f>$B$2*(Table15711[[#This Row],[Players]]-1)+$E$2</f>
        <v>786</v>
      </c>
      <c r="F5" s="2">
        <f>$B$3*(Table15711[[#This Row],[Players]]-1)+$F$2</f>
        <v>1575</v>
      </c>
      <c r="G5" s="2">
        <f>E5*Data!$C$4</f>
        <v>1061.1000000000001</v>
      </c>
      <c r="H5" s="2">
        <f>F5*Data!$C$4</f>
        <v>2126.25</v>
      </c>
      <c r="I5" s="2">
        <f>E5*Data!$C$5</f>
        <v>1375.5</v>
      </c>
      <c r="J5" s="4">
        <f>F5*Data!$C$5</f>
        <v>2756.25</v>
      </c>
    </row>
    <row r="6" spans="1:10" x14ac:dyDescent="0.35">
      <c r="D6" s="3">
        <v>5</v>
      </c>
      <c r="E6" s="2">
        <f>$B$2*(Table15711[[#This Row],[Players]]-1)+$E$2</f>
        <v>898</v>
      </c>
      <c r="F6" s="2">
        <f>$B$3*(Table15711[[#This Row],[Players]]-1)+$F$2</f>
        <v>1800</v>
      </c>
      <c r="G6" s="2">
        <f>E6*Data!$C$4</f>
        <v>1212.3000000000002</v>
      </c>
      <c r="H6" s="2">
        <f>F6*Data!$C$4</f>
        <v>2430</v>
      </c>
      <c r="I6" s="2">
        <f>E6*Data!$C$5</f>
        <v>1571.5</v>
      </c>
      <c r="J6" s="4">
        <f>F6*Data!$C$5</f>
        <v>3150</v>
      </c>
    </row>
    <row r="7" spans="1:10" x14ac:dyDescent="0.35">
      <c r="D7" s="3">
        <v>6</v>
      </c>
      <c r="E7" s="2">
        <f>$B$2*(Table15711[[#This Row],[Players]]-1)+$E$2</f>
        <v>1010</v>
      </c>
      <c r="F7" s="2">
        <f>$B$3*(Table15711[[#This Row],[Players]]-1)+$F$2</f>
        <v>2025</v>
      </c>
      <c r="G7" s="2">
        <f>E7*Data!$C$4</f>
        <v>1363.5</v>
      </c>
      <c r="H7" s="2">
        <f>F7*Data!$C$4</f>
        <v>2733.75</v>
      </c>
      <c r="I7" s="2">
        <f>E7*Data!$C$5</f>
        <v>1767.5</v>
      </c>
      <c r="J7" s="4">
        <f>F7*Data!$C$5</f>
        <v>3543.75</v>
      </c>
    </row>
    <row r="8" spans="1:10" x14ac:dyDescent="0.35">
      <c r="D8" s="3">
        <v>7</v>
      </c>
      <c r="E8" s="2">
        <f>$B$2*(Table15711[[#This Row],[Players]]-1)+$E$2</f>
        <v>1122</v>
      </c>
      <c r="F8" s="2">
        <f>$B$3*(Table15711[[#This Row],[Players]]-1)+$F$2</f>
        <v>2250</v>
      </c>
      <c r="G8" s="2">
        <f>E8*Data!$C$4</f>
        <v>1514.7</v>
      </c>
      <c r="H8" s="2">
        <f>F8*Data!$C$4</f>
        <v>3037.5</v>
      </c>
      <c r="I8" s="2">
        <f>E8*Data!$C$5</f>
        <v>1963.5</v>
      </c>
      <c r="J8" s="4">
        <f>F8*Data!$C$5</f>
        <v>3937.5</v>
      </c>
    </row>
    <row r="9" spans="1:10" x14ac:dyDescent="0.35">
      <c r="D9" s="3">
        <v>8</v>
      </c>
      <c r="E9" s="2">
        <f>$B$2*(Table15711[[#This Row],[Players]]-1)+$E$2</f>
        <v>1234</v>
      </c>
      <c r="F9" s="2">
        <f>$B$3*(Table15711[[#This Row],[Players]]-1)+$F$2</f>
        <v>2475</v>
      </c>
      <c r="G9" s="2">
        <f>E9*Data!$C$4</f>
        <v>1665.9</v>
      </c>
      <c r="H9" s="2">
        <f>F9*Data!$C$4</f>
        <v>3341.25</v>
      </c>
      <c r="I9" s="2">
        <f>E9*Data!$C$5</f>
        <v>2159.5</v>
      </c>
      <c r="J9" s="4">
        <f>F9*Data!$C$5</f>
        <v>4331.25</v>
      </c>
    </row>
    <row r="10" spans="1:10" x14ac:dyDescent="0.35">
      <c r="D10" s="3">
        <v>9</v>
      </c>
      <c r="E10" s="2">
        <f>$B$2*(Table15711[[#This Row],[Players]]-1)+$E$2</f>
        <v>1346</v>
      </c>
      <c r="F10" s="2">
        <f>$B$3*(Table15711[[#This Row],[Players]]-1)+$F$2</f>
        <v>2700</v>
      </c>
      <c r="G10" s="2">
        <f>E10*Data!$C$4</f>
        <v>1817.1000000000001</v>
      </c>
      <c r="H10" s="2">
        <f>F10*Data!$C$4</f>
        <v>3645.0000000000005</v>
      </c>
      <c r="I10" s="2">
        <f>E10*Data!$C$5</f>
        <v>2355.5</v>
      </c>
      <c r="J10" s="4">
        <f>F10*Data!$C$5</f>
        <v>4725</v>
      </c>
    </row>
    <row r="11" spans="1:10" x14ac:dyDescent="0.35">
      <c r="D11" s="3">
        <v>10</v>
      </c>
      <c r="E11" s="2">
        <f>$B$2*(Table15711[[#This Row],[Players]]-1)+$E$2</f>
        <v>1458</v>
      </c>
      <c r="F11" s="2">
        <f>$B$3*(Table15711[[#This Row],[Players]]-1)+$F$2</f>
        <v>2925</v>
      </c>
      <c r="G11" s="2">
        <f>E11*Data!$C$4</f>
        <v>1968.3000000000002</v>
      </c>
      <c r="H11" s="2">
        <f>F11*Data!$C$4</f>
        <v>3948.7500000000005</v>
      </c>
      <c r="I11" s="2">
        <f>E11*Data!$C$5</f>
        <v>2551.5</v>
      </c>
      <c r="J11" s="4">
        <f>F11*Data!$C$5</f>
        <v>5118.75</v>
      </c>
    </row>
    <row r="12" spans="1:10" x14ac:dyDescent="0.35">
      <c r="D12" s="3">
        <v>11</v>
      </c>
      <c r="E12" s="2">
        <f>$B$2*(Table15711[[#This Row],[Players]]-1)+$E$2</f>
        <v>1570</v>
      </c>
      <c r="F12" s="2">
        <f>$B$3*(Table15711[[#This Row],[Players]]-1)+$F$2</f>
        <v>3150</v>
      </c>
      <c r="G12" s="2">
        <f>E12*Data!$C$4</f>
        <v>2119.5</v>
      </c>
      <c r="H12" s="2">
        <f>F12*Data!$C$4</f>
        <v>4252.5</v>
      </c>
      <c r="I12" s="2">
        <f>E12*Data!$C$5</f>
        <v>2747.5</v>
      </c>
      <c r="J12" s="4">
        <f>F12*Data!$C$5</f>
        <v>5512.5</v>
      </c>
    </row>
    <row r="13" spans="1:10" x14ac:dyDescent="0.35">
      <c r="D13" s="3">
        <v>12</v>
      </c>
      <c r="E13" s="2">
        <f>$B$2*(Table15711[[#This Row],[Players]]-1)+$E$2</f>
        <v>1682</v>
      </c>
      <c r="F13" s="2">
        <f>$B$3*(Table15711[[#This Row],[Players]]-1)+$F$2</f>
        <v>3375</v>
      </c>
      <c r="G13" s="2">
        <f>E13*Data!$C$4</f>
        <v>2270.7000000000003</v>
      </c>
      <c r="H13" s="2">
        <f>F13*Data!$C$4</f>
        <v>4556.25</v>
      </c>
      <c r="I13" s="2">
        <f>E13*Data!$C$5</f>
        <v>2943.5</v>
      </c>
      <c r="J13" s="4">
        <f>F13*Data!$C$5</f>
        <v>5906.25</v>
      </c>
    </row>
    <row r="14" spans="1:10" x14ac:dyDescent="0.35">
      <c r="D14" s="3">
        <v>13</v>
      </c>
      <c r="E14" s="2">
        <f>$B$2*(Table15711[[#This Row],[Players]]-1)+$E$2</f>
        <v>1794</v>
      </c>
      <c r="F14" s="2">
        <f>$B$3*(Table15711[[#This Row],[Players]]-1)+$F$2</f>
        <v>3600</v>
      </c>
      <c r="G14" s="2">
        <f>E14*Data!$C$4</f>
        <v>2421.9</v>
      </c>
      <c r="H14" s="2">
        <f>F14*Data!$C$4</f>
        <v>4860</v>
      </c>
      <c r="I14" s="2">
        <f>E14*Data!$C$5</f>
        <v>3139.5</v>
      </c>
      <c r="J14" s="4">
        <f>F14*Data!$C$5</f>
        <v>6300</v>
      </c>
    </row>
    <row r="15" spans="1:10" x14ac:dyDescent="0.35">
      <c r="D15" s="3">
        <v>14</v>
      </c>
      <c r="E15" s="2">
        <f>$B$2*(Table15711[[#This Row],[Players]]-1)+$E$2</f>
        <v>1906</v>
      </c>
      <c r="F15" s="2">
        <f>$B$3*(Table15711[[#This Row],[Players]]-1)+$F$2</f>
        <v>3825</v>
      </c>
      <c r="G15" s="2">
        <f>E15*Data!$C$4</f>
        <v>2573.1000000000004</v>
      </c>
      <c r="H15" s="2">
        <f>F15*Data!$C$4</f>
        <v>5163.75</v>
      </c>
      <c r="I15" s="2">
        <f>E15*Data!$C$5</f>
        <v>3335.5</v>
      </c>
      <c r="J15" s="4">
        <f>F15*Data!$C$5</f>
        <v>6693.75</v>
      </c>
    </row>
    <row r="16" spans="1:10" x14ac:dyDescent="0.35">
      <c r="D16" s="3">
        <v>15</v>
      </c>
      <c r="E16" s="2">
        <f>$B$2*(Table15711[[#This Row],[Players]]-1)+$E$2</f>
        <v>2018</v>
      </c>
      <c r="F16" s="2">
        <f>$B$3*(Table15711[[#This Row],[Players]]-1)+$F$2</f>
        <v>4050</v>
      </c>
      <c r="G16" s="2">
        <f>E16*Data!$C$4</f>
        <v>2724.3</v>
      </c>
      <c r="H16" s="2">
        <f>F16*Data!$C$4</f>
        <v>5467.5</v>
      </c>
      <c r="I16" s="2">
        <f>E16*Data!$C$5</f>
        <v>3531.5</v>
      </c>
      <c r="J16" s="4">
        <f>F16*Data!$C$5</f>
        <v>7087.5</v>
      </c>
    </row>
    <row r="17" spans="4:10" x14ac:dyDescent="0.35">
      <c r="D17" s="3">
        <v>16</v>
      </c>
      <c r="E17" s="2">
        <f>$B$2*(Table15711[[#This Row],[Players]]-1)+$E$2</f>
        <v>2130</v>
      </c>
      <c r="F17" s="2">
        <f>$B$3*(Table15711[[#This Row],[Players]]-1)+$F$2</f>
        <v>4275</v>
      </c>
      <c r="G17" s="2">
        <f>E17*Data!$C$4</f>
        <v>2875.5</v>
      </c>
      <c r="H17" s="2">
        <f>F17*Data!$C$4</f>
        <v>5771.25</v>
      </c>
      <c r="I17" s="2">
        <f>E17*Data!$C$5</f>
        <v>3727.5</v>
      </c>
      <c r="J17" s="4">
        <f>F17*Data!$C$5</f>
        <v>7481.25</v>
      </c>
    </row>
    <row r="18" spans="4:10" x14ac:dyDescent="0.35">
      <c r="D18" s="3">
        <v>17</v>
      </c>
      <c r="E18" s="2">
        <f>$B$2*(Table15711[[#This Row],[Players]]-1)+$E$2</f>
        <v>2242</v>
      </c>
      <c r="F18" s="2">
        <f>$B$3*(Table15711[[#This Row],[Players]]-1)+$F$2</f>
        <v>4500</v>
      </c>
      <c r="G18" s="2">
        <f>E18*Data!$C$4</f>
        <v>3026.7000000000003</v>
      </c>
      <c r="H18" s="2">
        <f>F18*Data!$C$4</f>
        <v>6075</v>
      </c>
      <c r="I18" s="2">
        <f>E18*Data!$C$5</f>
        <v>3923.5</v>
      </c>
      <c r="J18" s="4">
        <f>F18*Data!$C$5</f>
        <v>7875</v>
      </c>
    </row>
    <row r="19" spans="4:10" x14ac:dyDescent="0.35">
      <c r="D19" s="3">
        <v>18</v>
      </c>
      <c r="E19" s="2">
        <f>$B$2*(Table15711[[#This Row],[Players]]-1)+$E$2</f>
        <v>2354</v>
      </c>
      <c r="F19" s="2">
        <f>$B$3*(Table15711[[#This Row],[Players]]-1)+$F$2</f>
        <v>4725</v>
      </c>
      <c r="G19" s="2">
        <f>E19*Data!$C$4</f>
        <v>3177.9</v>
      </c>
      <c r="H19" s="2">
        <f>F19*Data!$C$4</f>
        <v>6378.75</v>
      </c>
      <c r="I19" s="2">
        <f>E19*Data!$C$5</f>
        <v>4119.5</v>
      </c>
      <c r="J19" s="4">
        <f>F19*Data!$C$5</f>
        <v>8268.75</v>
      </c>
    </row>
    <row r="20" spans="4:10" x14ac:dyDescent="0.35">
      <c r="D20" s="3">
        <v>19</v>
      </c>
      <c r="E20" s="2">
        <f>$B$2*(Table15711[[#This Row],[Players]]-1)+$E$2</f>
        <v>2466</v>
      </c>
      <c r="F20" s="2">
        <f>$B$3*(Table15711[[#This Row],[Players]]-1)+$F$2</f>
        <v>4950</v>
      </c>
      <c r="G20" s="2">
        <f>E20*Data!$C$4</f>
        <v>3329.1000000000004</v>
      </c>
      <c r="H20" s="2">
        <f>F20*Data!$C$4</f>
        <v>6682.5</v>
      </c>
      <c r="I20" s="2">
        <f>E20*Data!$C$5</f>
        <v>4315.5</v>
      </c>
      <c r="J20" s="4">
        <f>F20*Data!$C$5</f>
        <v>8662.5</v>
      </c>
    </row>
    <row r="21" spans="4:10" x14ac:dyDescent="0.35">
      <c r="D21" s="10">
        <v>20</v>
      </c>
      <c r="E21" s="2">
        <f>$B$2*(Table15711[[#This Row],[Players]]-1)+$E$2</f>
        <v>2578</v>
      </c>
      <c r="F21" s="2">
        <f>$B$3*(Table15711[[#This Row],[Players]]-1)+$F$2</f>
        <v>5175</v>
      </c>
      <c r="G21" s="11">
        <f>E21*Data!$C$4</f>
        <v>3480.3</v>
      </c>
      <c r="H21" s="11">
        <f>F21*Data!$C$4</f>
        <v>6986.2500000000009</v>
      </c>
      <c r="I21" s="11">
        <f>E21*Data!$C$5</f>
        <v>4511.5</v>
      </c>
      <c r="J21" s="12">
        <f>F21*Data!$C$5</f>
        <v>9056.25</v>
      </c>
    </row>
  </sheetData>
  <pageMargins left="0.7" right="0.7" top="0.75" bottom="0.75" header="0.3" footer="0.3"/>
  <pageSetup paperSize="0" orientation="portrait" horizontalDpi="0" verticalDpi="0" copies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I21" sqref="I21"/>
    </sheetView>
  </sheetViews>
  <sheetFormatPr defaultRowHeight="14.5" x14ac:dyDescent="0.35"/>
  <cols>
    <col min="1" max="1" width="11.08984375" style="1" bestFit="1" customWidth="1"/>
    <col min="2" max="2" width="13.08984375" style="1" customWidth="1"/>
    <col min="3" max="3" width="2" style="1" customWidth="1"/>
    <col min="4" max="4" width="10.453125" style="1" bestFit="1" customWidth="1"/>
    <col min="5" max="5" width="22.90625" style="1" bestFit="1" customWidth="1"/>
    <col min="6" max="6" width="22.36328125" style="1" bestFit="1" customWidth="1"/>
    <col min="7" max="7" width="20.81640625" style="1" bestFit="1" customWidth="1"/>
    <col min="8" max="8" width="20.7265625" style="1" bestFit="1" customWidth="1"/>
    <col min="9" max="9" width="20" style="1" bestFit="1" customWidth="1"/>
    <col min="10" max="10" width="19.90625" style="1" bestFit="1" customWidth="1"/>
    <col min="11" max="16384" width="8.7265625" style="1"/>
  </cols>
  <sheetData>
    <row r="1" spans="1:10" x14ac:dyDescent="0.35">
      <c r="A1" s="1" t="s">
        <v>25</v>
      </c>
      <c r="B1" s="1" t="s">
        <v>7</v>
      </c>
      <c r="D1" s="5" t="s">
        <v>20</v>
      </c>
      <c r="E1" s="6" t="s">
        <v>14</v>
      </c>
      <c r="F1" s="6" t="s">
        <v>15</v>
      </c>
      <c r="G1" s="7" t="s">
        <v>16</v>
      </c>
      <c r="H1" s="7" t="s">
        <v>17</v>
      </c>
      <c r="I1" s="8" t="s">
        <v>18</v>
      </c>
      <c r="J1" s="9" t="s">
        <v>19</v>
      </c>
    </row>
    <row r="2" spans="1:10" x14ac:dyDescent="0.35">
      <c r="A2" s="1" t="s">
        <v>23</v>
      </c>
      <c r="B2" s="1">
        <v>187</v>
      </c>
      <c r="D2" s="3">
        <v>1</v>
      </c>
      <c r="E2" s="2">
        <v>750</v>
      </c>
      <c r="F2" s="2">
        <v>1250</v>
      </c>
      <c r="G2" s="2">
        <f>E2*Data!C4</f>
        <v>1012.5000000000001</v>
      </c>
      <c r="H2" s="2">
        <f>F2*Data!C4</f>
        <v>1687.5</v>
      </c>
      <c r="I2" s="2">
        <f>E2*Data!C5</f>
        <v>1312.5</v>
      </c>
      <c r="J2" s="4">
        <f>F2*Data!C5</f>
        <v>2187.5</v>
      </c>
    </row>
    <row r="3" spans="1:10" x14ac:dyDescent="0.35">
      <c r="A3" s="1" t="s">
        <v>24</v>
      </c>
      <c r="B3" s="1">
        <v>250</v>
      </c>
      <c r="D3" s="3">
        <v>2</v>
      </c>
      <c r="E3" s="2">
        <f>$B$2*(Table1571113[[#This Row],[Players]]-1)+$E$2</f>
        <v>937</v>
      </c>
      <c r="F3" s="2">
        <f>$B$3*(Table1571113[[#This Row],[Players]]-1)+$F$2</f>
        <v>1500</v>
      </c>
      <c r="G3" s="2">
        <f>E3*Data!$C$4</f>
        <v>1264.95</v>
      </c>
      <c r="H3" s="2">
        <f>F3*Data!$C$4</f>
        <v>2025.0000000000002</v>
      </c>
      <c r="I3" s="2">
        <f>E3*Data!$C$5</f>
        <v>1639.75</v>
      </c>
      <c r="J3" s="4">
        <f>F3*Data!$C$5</f>
        <v>2625</v>
      </c>
    </row>
    <row r="4" spans="1:10" x14ac:dyDescent="0.35">
      <c r="D4" s="3">
        <v>3</v>
      </c>
      <c r="E4" s="2">
        <f>$B$2*(Table1571113[[#This Row],[Players]]-1)+$E$2</f>
        <v>1124</v>
      </c>
      <c r="F4" s="2">
        <f>$B$3*(Table1571113[[#This Row],[Players]]-1)+$F$2</f>
        <v>1750</v>
      </c>
      <c r="G4" s="2">
        <f>E4*Data!$C$4</f>
        <v>1517.4</v>
      </c>
      <c r="H4" s="2">
        <f>F4*Data!$C$4</f>
        <v>2362.5</v>
      </c>
      <c r="I4" s="2">
        <f>E4*Data!$C$5</f>
        <v>1967</v>
      </c>
      <c r="J4" s="4">
        <f>F4*Data!$C$5</f>
        <v>3062.5</v>
      </c>
    </row>
    <row r="5" spans="1:10" x14ac:dyDescent="0.35">
      <c r="D5" s="3">
        <v>4</v>
      </c>
      <c r="E5" s="2">
        <f>$B$2*(Table1571113[[#This Row],[Players]]-1)+$E$2</f>
        <v>1311</v>
      </c>
      <c r="F5" s="2">
        <f>$B$3*(Table1571113[[#This Row],[Players]]-1)+$F$2</f>
        <v>2000</v>
      </c>
      <c r="G5" s="2">
        <f>E5*Data!$C$4</f>
        <v>1769.8500000000001</v>
      </c>
      <c r="H5" s="2">
        <f>F5*Data!$C$4</f>
        <v>2700</v>
      </c>
      <c r="I5" s="2">
        <f>E5*Data!$C$5</f>
        <v>2294.25</v>
      </c>
      <c r="J5" s="4">
        <f>F5*Data!$C$5</f>
        <v>3500</v>
      </c>
    </row>
    <row r="6" spans="1:10" x14ac:dyDescent="0.35">
      <c r="D6" s="3">
        <v>5</v>
      </c>
      <c r="E6" s="2">
        <f>$B$2*(Table1571113[[#This Row],[Players]]-1)+$E$2</f>
        <v>1498</v>
      </c>
      <c r="F6" s="2">
        <f>$B$3*(Table1571113[[#This Row],[Players]]-1)+$F$2</f>
        <v>2250</v>
      </c>
      <c r="G6" s="2">
        <f>E6*Data!$C$4</f>
        <v>2022.3000000000002</v>
      </c>
      <c r="H6" s="2">
        <f>F6*Data!$C$4</f>
        <v>3037.5</v>
      </c>
      <c r="I6" s="2">
        <f>E6*Data!$C$5</f>
        <v>2621.5</v>
      </c>
      <c r="J6" s="4">
        <f>F6*Data!$C$5</f>
        <v>3937.5</v>
      </c>
    </row>
    <row r="7" spans="1:10" x14ac:dyDescent="0.35">
      <c r="D7" s="3">
        <v>6</v>
      </c>
      <c r="E7" s="2">
        <f>$B$2*(Table1571113[[#This Row],[Players]]-1)+$E$2</f>
        <v>1685</v>
      </c>
      <c r="F7" s="2">
        <f>$B$3*(Table1571113[[#This Row],[Players]]-1)+$F$2</f>
        <v>2500</v>
      </c>
      <c r="G7" s="2">
        <f>E7*Data!$C$4</f>
        <v>2274.75</v>
      </c>
      <c r="H7" s="2">
        <f>F7*Data!$C$4</f>
        <v>3375</v>
      </c>
      <c r="I7" s="2">
        <f>E7*Data!$C$5</f>
        <v>2948.75</v>
      </c>
      <c r="J7" s="4">
        <f>F7*Data!$C$5</f>
        <v>4375</v>
      </c>
    </row>
    <row r="8" spans="1:10" x14ac:dyDescent="0.35">
      <c r="D8" s="3">
        <v>7</v>
      </c>
      <c r="E8" s="2">
        <f>$B$2*(Table1571113[[#This Row],[Players]]-1)+$E$2</f>
        <v>1872</v>
      </c>
      <c r="F8" s="2">
        <f>$B$3*(Table1571113[[#This Row],[Players]]-1)+$F$2</f>
        <v>2750</v>
      </c>
      <c r="G8" s="2">
        <f>E8*Data!$C$4</f>
        <v>2527.2000000000003</v>
      </c>
      <c r="H8" s="2">
        <f>F8*Data!$C$4</f>
        <v>3712.5000000000005</v>
      </c>
      <c r="I8" s="2">
        <f>E8*Data!$C$5</f>
        <v>3276</v>
      </c>
      <c r="J8" s="4">
        <f>F8*Data!$C$5</f>
        <v>4812.5</v>
      </c>
    </row>
    <row r="9" spans="1:10" x14ac:dyDescent="0.35">
      <c r="D9" s="3">
        <v>8</v>
      </c>
      <c r="E9" s="2">
        <f>$B$2*(Table1571113[[#This Row],[Players]]-1)+$E$2</f>
        <v>2059</v>
      </c>
      <c r="F9" s="2">
        <f>$B$3*(Table1571113[[#This Row],[Players]]-1)+$F$2</f>
        <v>3000</v>
      </c>
      <c r="G9" s="2">
        <f>E9*Data!$C$4</f>
        <v>2779.65</v>
      </c>
      <c r="H9" s="2">
        <f>F9*Data!$C$4</f>
        <v>4050.0000000000005</v>
      </c>
      <c r="I9" s="2">
        <f>E9*Data!$C$5</f>
        <v>3603.25</v>
      </c>
      <c r="J9" s="4">
        <f>F9*Data!$C$5</f>
        <v>5250</v>
      </c>
    </row>
    <row r="10" spans="1:10" x14ac:dyDescent="0.35">
      <c r="D10" s="3">
        <v>9</v>
      </c>
      <c r="E10" s="2">
        <f>$B$2*(Table1571113[[#This Row],[Players]]-1)+$E$2</f>
        <v>2246</v>
      </c>
      <c r="F10" s="2">
        <f>$B$3*(Table1571113[[#This Row],[Players]]-1)+$F$2</f>
        <v>3250</v>
      </c>
      <c r="G10" s="2">
        <f>E10*Data!$C$4</f>
        <v>3032.1000000000004</v>
      </c>
      <c r="H10" s="2">
        <f>F10*Data!$C$4</f>
        <v>4387.5</v>
      </c>
      <c r="I10" s="2">
        <f>E10*Data!$C$5</f>
        <v>3930.5</v>
      </c>
      <c r="J10" s="4">
        <f>F10*Data!$C$5</f>
        <v>5687.5</v>
      </c>
    </row>
    <row r="11" spans="1:10" x14ac:dyDescent="0.35">
      <c r="D11" s="3">
        <v>10</v>
      </c>
      <c r="E11" s="2">
        <f>$B$2*(Table1571113[[#This Row],[Players]]-1)+$E$2</f>
        <v>2433</v>
      </c>
      <c r="F11" s="2">
        <f>$B$3*(Table1571113[[#This Row],[Players]]-1)+$F$2</f>
        <v>3500</v>
      </c>
      <c r="G11" s="2">
        <f>E11*Data!$C$4</f>
        <v>3284.55</v>
      </c>
      <c r="H11" s="2">
        <f>F11*Data!$C$4</f>
        <v>4725</v>
      </c>
      <c r="I11" s="2">
        <f>E11*Data!$C$5</f>
        <v>4257.75</v>
      </c>
      <c r="J11" s="4">
        <f>F11*Data!$C$5</f>
        <v>6125</v>
      </c>
    </row>
    <row r="12" spans="1:10" x14ac:dyDescent="0.35">
      <c r="D12" s="3">
        <v>11</v>
      </c>
      <c r="E12" s="2">
        <f>$B$2*(Table1571113[[#This Row],[Players]]-1)+$E$2</f>
        <v>2620</v>
      </c>
      <c r="F12" s="2">
        <f>$B$3*(Table1571113[[#This Row],[Players]]-1)+$F$2</f>
        <v>3750</v>
      </c>
      <c r="G12" s="2">
        <f>E12*Data!$C$4</f>
        <v>3537.0000000000005</v>
      </c>
      <c r="H12" s="2">
        <f>F12*Data!$C$4</f>
        <v>5062.5</v>
      </c>
      <c r="I12" s="2">
        <f>E12*Data!$C$5</f>
        <v>4585</v>
      </c>
      <c r="J12" s="4">
        <f>F12*Data!$C$5</f>
        <v>6562.5</v>
      </c>
    </row>
    <row r="13" spans="1:10" x14ac:dyDescent="0.35">
      <c r="D13" s="3">
        <v>12</v>
      </c>
      <c r="E13" s="2">
        <f>$B$2*(Table1571113[[#This Row],[Players]]-1)+$E$2</f>
        <v>2807</v>
      </c>
      <c r="F13" s="2">
        <f>$B$3*(Table1571113[[#This Row],[Players]]-1)+$F$2</f>
        <v>4000</v>
      </c>
      <c r="G13" s="2">
        <f>E13*Data!$C$4</f>
        <v>3789.4500000000003</v>
      </c>
      <c r="H13" s="2">
        <f>F13*Data!$C$4</f>
        <v>5400</v>
      </c>
      <c r="I13" s="2">
        <f>E13*Data!$C$5</f>
        <v>4912.25</v>
      </c>
      <c r="J13" s="4">
        <f>F13*Data!$C$5</f>
        <v>7000</v>
      </c>
    </row>
    <row r="14" spans="1:10" x14ac:dyDescent="0.35">
      <c r="D14" s="3">
        <v>13</v>
      </c>
      <c r="E14" s="2">
        <f>$B$2*(Table1571113[[#This Row],[Players]]-1)+$E$2</f>
        <v>2994</v>
      </c>
      <c r="F14" s="2">
        <f>$B$3*(Table1571113[[#This Row],[Players]]-1)+$F$2</f>
        <v>4250</v>
      </c>
      <c r="G14" s="2">
        <f>E14*Data!$C$4</f>
        <v>4041.9</v>
      </c>
      <c r="H14" s="2">
        <f>F14*Data!$C$4</f>
        <v>5737.5</v>
      </c>
      <c r="I14" s="2">
        <f>E14*Data!$C$5</f>
        <v>5239.5</v>
      </c>
      <c r="J14" s="4">
        <f>F14*Data!$C$5</f>
        <v>7437.5</v>
      </c>
    </row>
    <row r="15" spans="1:10" x14ac:dyDescent="0.35">
      <c r="D15" s="3">
        <v>14</v>
      </c>
      <c r="E15" s="2">
        <f>$B$2*(Table1571113[[#This Row],[Players]]-1)+$E$2</f>
        <v>3181</v>
      </c>
      <c r="F15" s="2">
        <f>$B$3*(Table1571113[[#This Row],[Players]]-1)+$F$2</f>
        <v>4500</v>
      </c>
      <c r="G15" s="2">
        <f>E15*Data!$C$4</f>
        <v>4294.3500000000004</v>
      </c>
      <c r="H15" s="2">
        <f>F15*Data!$C$4</f>
        <v>6075</v>
      </c>
      <c r="I15" s="2">
        <f>E15*Data!$C$5</f>
        <v>5566.75</v>
      </c>
      <c r="J15" s="4">
        <f>F15*Data!$C$5</f>
        <v>7875</v>
      </c>
    </row>
    <row r="16" spans="1:10" x14ac:dyDescent="0.35">
      <c r="D16" s="3">
        <v>15</v>
      </c>
      <c r="E16" s="2">
        <f>$B$2*(Table1571113[[#This Row],[Players]]-1)+$E$2</f>
        <v>3368</v>
      </c>
      <c r="F16" s="2">
        <f>$B$3*(Table1571113[[#This Row],[Players]]-1)+$F$2</f>
        <v>4750</v>
      </c>
      <c r="G16" s="2">
        <f>E16*Data!$C$4</f>
        <v>4546.8</v>
      </c>
      <c r="H16" s="2">
        <f>F16*Data!$C$4</f>
        <v>6412.5</v>
      </c>
      <c r="I16" s="2">
        <f>E16*Data!$C$5</f>
        <v>5894</v>
      </c>
      <c r="J16" s="4">
        <f>F16*Data!$C$5</f>
        <v>8312.5</v>
      </c>
    </row>
    <row r="17" spans="4:10" x14ac:dyDescent="0.35">
      <c r="D17" s="3">
        <v>16</v>
      </c>
      <c r="E17" s="2">
        <f>$B$2*(Table1571113[[#This Row],[Players]]-1)+$E$2</f>
        <v>3555</v>
      </c>
      <c r="F17" s="2">
        <f>$B$3*(Table1571113[[#This Row],[Players]]-1)+$F$2</f>
        <v>5000</v>
      </c>
      <c r="G17" s="2">
        <f>E17*Data!$C$4</f>
        <v>4799.25</v>
      </c>
      <c r="H17" s="2">
        <f>F17*Data!$C$4</f>
        <v>6750</v>
      </c>
      <c r="I17" s="2">
        <f>E17*Data!$C$5</f>
        <v>6221.25</v>
      </c>
      <c r="J17" s="4">
        <f>F17*Data!$C$5</f>
        <v>8750</v>
      </c>
    </row>
    <row r="18" spans="4:10" x14ac:dyDescent="0.35">
      <c r="D18" s="3">
        <v>17</v>
      </c>
      <c r="E18" s="2">
        <f>$B$2*(Table1571113[[#This Row],[Players]]-1)+$E$2</f>
        <v>3742</v>
      </c>
      <c r="F18" s="2">
        <f>$B$3*(Table1571113[[#This Row],[Players]]-1)+$F$2</f>
        <v>5250</v>
      </c>
      <c r="G18" s="2">
        <f>E18*Data!$C$4</f>
        <v>5051.7000000000007</v>
      </c>
      <c r="H18" s="2">
        <f>F18*Data!$C$4</f>
        <v>7087.5000000000009</v>
      </c>
      <c r="I18" s="2">
        <f>E18*Data!$C$5</f>
        <v>6548.5</v>
      </c>
      <c r="J18" s="4">
        <f>F18*Data!$C$5</f>
        <v>9187.5</v>
      </c>
    </row>
    <row r="19" spans="4:10" x14ac:dyDescent="0.35">
      <c r="D19" s="3">
        <v>18</v>
      </c>
      <c r="E19" s="2">
        <f>$B$2*(Table1571113[[#This Row],[Players]]-1)+$E$2</f>
        <v>3929</v>
      </c>
      <c r="F19" s="2">
        <f>$B$3*(Table1571113[[#This Row],[Players]]-1)+$F$2</f>
        <v>5500</v>
      </c>
      <c r="G19" s="2">
        <f>E19*Data!$C$4</f>
        <v>5304.1500000000005</v>
      </c>
      <c r="H19" s="2">
        <f>F19*Data!$C$4</f>
        <v>7425.0000000000009</v>
      </c>
      <c r="I19" s="2">
        <f>E19*Data!$C$5</f>
        <v>6875.75</v>
      </c>
      <c r="J19" s="4">
        <f>F19*Data!$C$5</f>
        <v>9625</v>
      </c>
    </row>
    <row r="20" spans="4:10" x14ac:dyDescent="0.35">
      <c r="D20" s="3">
        <v>19</v>
      </c>
      <c r="E20" s="2">
        <f>$B$2*(Table1571113[[#This Row],[Players]]-1)+$E$2</f>
        <v>4116</v>
      </c>
      <c r="F20" s="2">
        <f>$B$3*(Table1571113[[#This Row],[Players]]-1)+$F$2</f>
        <v>5750</v>
      </c>
      <c r="G20" s="2">
        <f>E20*Data!$C$4</f>
        <v>5556.6</v>
      </c>
      <c r="H20" s="2">
        <f>F20*Data!$C$4</f>
        <v>7762.5000000000009</v>
      </c>
      <c r="I20" s="2">
        <f>E20*Data!$C$5</f>
        <v>7203</v>
      </c>
      <c r="J20" s="4">
        <f>F20*Data!$C$5</f>
        <v>10062.5</v>
      </c>
    </row>
    <row r="21" spans="4:10" x14ac:dyDescent="0.35">
      <c r="D21" s="10">
        <v>20</v>
      </c>
      <c r="E21" s="2">
        <f>$B$2*(Table1571113[[#This Row],[Players]]-1)+$E$2</f>
        <v>4303</v>
      </c>
      <c r="F21" s="2">
        <f>$B$3*(Table1571113[[#This Row],[Players]]-1)+$F$2</f>
        <v>6000</v>
      </c>
      <c r="G21" s="11">
        <f>E21*Data!$C$4</f>
        <v>5809.05</v>
      </c>
      <c r="H21" s="11">
        <f>F21*Data!$C$4</f>
        <v>8100.0000000000009</v>
      </c>
      <c r="I21" s="11">
        <f>E21*Data!$C$5</f>
        <v>7530.25</v>
      </c>
      <c r="J21" s="12">
        <f>F21*Data!$C$5</f>
        <v>10500</v>
      </c>
    </row>
  </sheetData>
  <pageMargins left="0.7" right="0.7" top="0.75" bottom="0.75" header="0.3" footer="0.3"/>
  <pageSetup paperSize="0" orientation="portrait" horizontalDpi="0" verticalDpi="0" copies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E3" sqref="E3"/>
    </sheetView>
  </sheetViews>
  <sheetFormatPr defaultRowHeight="14.5" x14ac:dyDescent="0.35"/>
  <cols>
    <col min="1" max="1" width="11.08984375" style="1" bestFit="1" customWidth="1"/>
    <col min="2" max="2" width="13.08984375" style="1" customWidth="1"/>
    <col min="3" max="3" width="2" style="1" customWidth="1"/>
    <col min="4" max="4" width="10.453125" style="1" bestFit="1" customWidth="1"/>
    <col min="5" max="5" width="22.90625" style="1" bestFit="1" customWidth="1"/>
    <col min="6" max="6" width="22.36328125" style="1" bestFit="1" customWidth="1"/>
    <col min="7" max="7" width="20.81640625" style="1" bestFit="1" customWidth="1"/>
    <col min="8" max="8" width="20.7265625" style="1" bestFit="1" customWidth="1"/>
    <col min="9" max="9" width="20" style="1" bestFit="1" customWidth="1"/>
    <col min="10" max="10" width="19.90625" style="1" bestFit="1" customWidth="1"/>
    <col min="11" max="16384" width="8.7265625" style="1"/>
  </cols>
  <sheetData>
    <row r="1" spans="1:10" x14ac:dyDescent="0.35">
      <c r="A1" s="1" t="s">
        <v>25</v>
      </c>
      <c r="B1" s="1" t="s">
        <v>7</v>
      </c>
      <c r="D1" s="5" t="s">
        <v>20</v>
      </c>
      <c r="E1" s="6" t="s">
        <v>14</v>
      </c>
      <c r="F1" s="6" t="s">
        <v>15</v>
      </c>
      <c r="G1" s="7" t="s">
        <v>16</v>
      </c>
      <c r="H1" s="7" t="s">
        <v>17</v>
      </c>
      <c r="I1" s="8" t="s">
        <v>18</v>
      </c>
      <c r="J1" s="9" t="s">
        <v>19</v>
      </c>
    </row>
    <row r="2" spans="1:10" x14ac:dyDescent="0.35">
      <c r="A2" s="1" t="s">
        <v>23</v>
      </c>
      <c r="B2" s="1">
        <v>195</v>
      </c>
      <c r="D2" s="3">
        <v>1</v>
      </c>
      <c r="E2" s="2">
        <v>650</v>
      </c>
      <c r="F2" s="2">
        <v>1000</v>
      </c>
      <c r="G2" s="2">
        <f>E2*Data!C4</f>
        <v>877.50000000000011</v>
      </c>
      <c r="H2" s="2">
        <f>F2*Data!C4</f>
        <v>1350</v>
      </c>
      <c r="I2" s="2">
        <f>E2*Data!C5</f>
        <v>1137.5</v>
      </c>
      <c r="J2" s="4">
        <f>F2*Data!C5</f>
        <v>1750</v>
      </c>
    </row>
    <row r="3" spans="1:10" x14ac:dyDescent="0.35">
      <c r="A3" s="1" t="s">
        <v>24</v>
      </c>
      <c r="B3" s="1">
        <v>500</v>
      </c>
      <c r="D3" s="3">
        <v>2</v>
      </c>
      <c r="E3" s="2">
        <f>$B$2*(Table157[[#This Row],[Players]]-1)+$E$2</f>
        <v>845</v>
      </c>
      <c r="F3" s="2">
        <f>$B$3*(Table157[[#This Row],[Players]]-1)+$F$2</f>
        <v>1500</v>
      </c>
      <c r="G3" s="2">
        <f>E3*Data!$C$4</f>
        <v>1140.75</v>
      </c>
      <c r="H3" s="2">
        <f>F3*Data!$C$4</f>
        <v>2025.0000000000002</v>
      </c>
      <c r="I3" s="2">
        <f>E3*Data!$C$5</f>
        <v>1478.75</v>
      </c>
      <c r="J3" s="4">
        <f>F3*Data!$C$5</f>
        <v>2625</v>
      </c>
    </row>
    <row r="4" spans="1:10" x14ac:dyDescent="0.35">
      <c r="D4" s="3">
        <v>3</v>
      </c>
      <c r="E4" s="2">
        <f>$B$2*(Table157[[#This Row],[Players]]-1)+$E$2</f>
        <v>1040</v>
      </c>
      <c r="F4" s="2">
        <f>$B$3*(Table157[[#This Row],[Players]]-1)+$F$2</f>
        <v>2000</v>
      </c>
      <c r="G4" s="2">
        <f>E4*Data!$C$4</f>
        <v>1404</v>
      </c>
      <c r="H4" s="2">
        <f>F4*Data!$C$4</f>
        <v>2700</v>
      </c>
      <c r="I4" s="2">
        <f>E4*Data!$C$5</f>
        <v>1820</v>
      </c>
      <c r="J4" s="4">
        <f>F4*Data!$C$5</f>
        <v>3500</v>
      </c>
    </row>
    <row r="5" spans="1:10" x14ac:dyDescent="0.35">
      <c r="D5" s="3">
        <v>4</v>
      </c>
      <c r="E5" s="2">
        <f>$B$2*(Table157[[#This Row],[Players]]-1)+$E$2</f>
        <v>1235</v>
      </c>
      <c r="F5" s="2">
        <f>$B$3*(Table157[[#This Row],[Players]]-1)+$F$2</f>
        <v>2500</v>
      </c>
      <c r="G5" s="2">
        <f>E5*Data!$C$4</f>
        <v>1667.25</v>
      </c>
      <c r="H5" s="2">
        <f>F5*Data!$C$4</f>
        <v>3375</v>
      </c>
      <c r="I5" s="2">
        <f>E5*Data!$C$5</f>
        <v>2161.25</v>
      </c>
      <c r="J5" s="4">
        <f>F5*Data!$C$5</f>
        <v>4375</v>
      </c>
    </row>
    <row r="6" spans="1:10" x14ac:dyDescent="0.35">
      <c r="D6" s="3">
        <v>5</v>
      </c>
      <c r="E6" s="2">
        <f>$B$2*(Table157[[#This Row],[Players]]-1)+$E$2</f>
        <v>1430</v>
      </c>
      <c r="F6" s="2">
        <f>$B$3*(Table157[[#This Row],[Players]]-1)+$F$2</f>
        <v>3000</v>
      </c>
      <c r="G6" s="2">
        <f>E6*Data!$C$4</f>
        <v>1930.5000000000002</v>
      </c>
      <c r="H6" s="2">
        <f>F6*Data!$C$4</f>
        <v>4050.0000000000005</v>
      </c>
      <c r="I6" s="2">
        <f>E6*Data!$C$5</f>
        <v>2502.5</v>
      </c>
      <c r="J6" s="4">
        <f>F6*Data!$C$5</f>
        <v>5250</v>
      </c>
    </row>
    <row r="7" spans="1:10" x14ac:dyDescent="0.35">
      <c r="D7" s="3">
        <v>6</v>
      </c>
      <c r="E7" s="2">
        <f>$B$2*(Table157[[#This Row],[Players]]-1)+$E$2</f>
        <v>1625</v>
      </c>
      <c r="F7" s="2">
        <f>$B$3*(Table157[[#This Row],[Players]]-1)+$F$2</f>
        <v>3500</v>
      </c>
      <c r="G7" s="2">
        <f>E7*Data!$C$4</f>
        <v>2193.75</v>
      </c>
      <c r="H7" s="2">
        <f>F7*Data!$C$4</f>
        <v>4725</v>
      </c>
      <c r="I7" s="2">
        <f>E7*Data!$C$5</f>
        <v>2843.75</v>
      </c>
      <c r="J7" s="4">
        <f>F7*Data!$C$5</f>
        <v>6125</v>
      </c>
    </row>
    <row r="8" spans="1:10" x14ac:dyDescent="0.35">
      <c r="D8" s="3">
        <v>7</v>
      </c>
      <c r="E8" s="2">
        <f>$B$2*(Table157[[#This Row],[Players]]-1)+$E$2</f>
        <v>1820</v>
      </c>
      <c r="F8" s="2">
        <f>$B$3*(Table157[[#This Row],[Players]]-1)+$F$2</f>
        <v>4000</v>
      </c>
      <c r="G8" s="2">
        <f>E8*Data!$C$4</f>
        <v>2457</v>
      </c>
      <c r="H8" s="2">
        <f>F8*Data!$C$4</f>
        <v>5400</v>
      </c>
      <c r="I8" s="2">
        <f>E8*Data!$C$5</f>
        <v>3185</v>
      </c>
      <c r="J8" s="4">
        <f>F8*Data!$C$5</f>
        <v>7000</v>
      </c>
    </row>
    <row r="9" spans="1:10" x14ac:dyDescent="0.35">
      <c r="D9" s="3">
        <v>8</v>
      </c>
      <c r="E9" s="2">
        <f>$B$2*(Table157[[#This Row],[Players]]-1)+$E$2</f>
        <v>2015</v>
      </c>
      <c r="F9" s="2">
        <f>$B$3*(Table157[[#This Row],[Players]]-1)+$F$2</f>
        <v>4500</v>
      </c>
      <c r="G9" s="2">
        <f>E9*Data!$C$4</f>
        <v>2720.25</v>
      </c>
      <c r="H9" s="2">
        <f>F9*Data!$C$4</f>
        <v>6075</v>
      </c>
      <c r="I9" s="2">
        <f>E9*Data!$C$5</f>
        <v>3526.25</v>
      </c>
      <c r="J9" s="4">
        <f>F9*Data!$C$5</f>
        <v>7875</v>
      </c>
    </row>
    <row r="10" spans="1:10" x14ac:dyDescent="0.35">
      <c r="D10" s="3">
        <v>9</v>
      </c>
      <c r="E10" s="2">
        <f>$B$2*(Table157[[#This Row],[Players]]-1)+$E$2</f>
        <v>2210</v>
      </c>
      <c r="F10" s="2">
        <f>$B$3*(Table157[[#This Row],[Players]]-1)+$F$2</f>
        <v>5000</v>
      </c>
      <c r="G10" s="2">
        <f>E10*Data!$C$4</f>
        <v>2983.5</v>
      </c>
      <c r="H10" s="2">
        <f>F10*Data!$C$4</f>
        <v>6750</v>
      </c>
      <c r="I10" s="2">
        <f>E10*Data!$C$5</f>
        <v>3867.5</v>
      </c>
      <c r="J10" s="4">
        <f>F10*Data!$C$5</f>
        <v>8750</v>
      </c>
    </row>
    <row r="11" spans="1:10" x14ac:dyDescent="0.35">
      <c r="D11" s="3">
        <v>10</v>
      </c>
      <c r="E11" s="2">
        <f>$B$2*(Table157[[#This Row],[Players]]-1)+$E$2</f>
        <v>2405</v>
      </c>
      <c r="F11" s="2">
        <f>$B$3*(Table157[[#This Row],[Players]]-1)+$F$2</f>
        <v>5500</v>
      </c>
      <c r="G11" s="2">
        <f>E11*Data!$C$4</f>
        <v>3246.75</v>
      </c>
      <c r="H11" s="2">
        <f>F11*Data!$C$4</f>
        <v>7425.0000000000009</v>
      </c>
      <c r="I11" s="2">
        <f>E11*Data!$C$5</f>
        <v>4208.75</v>
      </c>
      <c r="J11" s="4">
        <f>F11*Data!$C$5</f>
        <v>9625</v>
      </c>
    </row>
    <row r="12" spans="1:10" x14ac:dyDescent="0.35">
      <c r="D12" s="3">
        <v>11</v>
      </c>
      <c r="E12" s="2">
        <f>$B$2*(Table157[[#This Row],[Players]]-1)+$E$2</f>
        <v>2600</v>
      </c>
      <c r="F12" s="2">
        <f>$B$3*(Table157[[#This Row],[Players]]-1)+$F$2</f>
        <v>6000</v>
      </c>
      <c r="G12" s="2">
        <f>E12*Data!$C$4</f>
        <v>3510.0000000000005</v>
      </c>
      <c r="H12" s="2">
        <f>F12*Data!$C$4</f>
        <v>8100.0000000000009</v>
      </c>
      <c r="I12" s="2">
        <f>E12*Data!$C$5</f>
        <v>4550</v>
      </c>
      <c r="J12" s="4">
        <f>F12*Data!$C$5</f>
        <v>10500</v>
      </c>
    </row>
    <row r="13" spans="1:10" x14ac:dyDescent="0.35">
      <c r="D13" s="3">
        <v>12</v>
      </c>
      <c r="E13" s="2">
        <f>$B$2*(Table157[[#This Row],[Players]]-1)+$E$2</f>
        <v>2795</v>
      </c>
      <c r="F13" s="2">
        <f>$B$3*(Table157[[#This Row],[Players]]-1)+$F$2</f>
        <v>6500</v>
      </c>
      <c r="G13" s="2">
        <f>E13*Data!$C$4</f>
        <v>3773.2500000000005</v>
      </c>
      <c r="H13" s="2">
        <f>F13*Data!$C$4</f>
        <v>8775</v>
      </c>
      <c r="I13" s="2">
        <f>E13*Data!$C$5</f>
        <v>4891.25</v>
      </c>
      <c r="J13" s="4">
        <f>F13*Data!$C$5</f>
        <v>11375</v>
      </c>
    </row>
    <row r="14" spans="1:10" x14ac:dyDescent="0.35">
      <c r="D14" s="3">
        <v>13</v>
      </c>
      <c r="E14" s="2">
        <f>$B$2*(Table157[[#This Row],[Players]]-1)+$E$2</f>
        <v>2990</v>
      </c>
      <c r="F14" s="2">
        <f>$B$3*(Table157[[#This Row],[Players]]-1)+$F$2</f>
        <v>7000</v>
      </c>
      <c r="G14" s="2">
        <f>E14*Data!$C$4</f>
        <v>4036.5000000000005</v>
      </c>
      <c r="H14" s="2">
        <f>F14*Data!$C$4</f>
        <v>9450</v>
      </c>
      <c r="I14" s="2">
        <f>E14*Data!$C$5</f>
        <v>5232.5</v>
      </c>
      <c r="J14" s="4">
        <f>F14*Data!$C$5</f>
        <v>12250</v>
      </c>
    </row>
    <row r="15" spans="1:10" x14ac:dyDescent="0.35">
      <c r="D15" s="3">
        <v>14</v>
      </c>
      <c r="E15" s="2">
        <f>$B$2*(Table157[[#This Row],[Players]]-1)+$E$2</f>
        <v>3185</v>
      </c>
      <c r="F15" s="2">
        <f>$B$3*(Table157[[#This Row],[Players]]-1)+$F$2</f>
        <v>7500</v>
      </c>
      <c r="G15" s="2">
        <f>E15*Data!$C$4</f>
        <v>4299.75</v>
      </c>
      <c r="H15" s="2">
        <f>F15*Data!$C$4</f>
        <v>10125</v>
      </c>
      <c r="I15" s="2">
        <f>E15*Data!$C$5</f>
        <v>5573.75</v>
      </c>
      <c r="J15" s="4">
        <f>F15*Data!$C$5</f>
        <v>13125</v>
      </c>
    </row>
    <row r="16" spans="1:10" x14ac:dyDescent="0.35">
      <c r="D16" s="3">
        <v>15</v>
      </c>
      <c r="E16" s="2">
        <f>$B$2*(Table157[[#This Row],[Players]]-1)+$E$2</f>
        <v>3380</v>
      </c>
      <c r="F16" s="2">
        <f>$B$3*(Table157[[#This Row],[Players]]-1)+$F$2</f>
        <v>8000</v>
      </c>
      <c r="G16" s="2">
        <f>E16*Data!$C$4</f>
        <v>4563</v>
      </c>
      <c r="H16" s="2">
        <f>F16*Data!$C$4</f>
        <v>10800</v>
      </c>
      <c r="I16" s="2">
        <f>E16*Data!$C$5</f>
        <v>5915</v>
      </c>
      <c r="J16" s="4">
        <f>F16*Data!$C$5</f>
        <v>14000</v>
      </c>
    </row>
    <row r="17" spans="4:10" x14ac:dyDescent="0.35">
      <c r="D17" s="3">
        <v>16</v>
      </c>
      <c r="E17" s="2">
        <f>$B$2*(Table157[[#This Row],[Players]]-1)+$E$2</f>
        <v>3575</v>
      </c>
      <c r="F17" s="2">
        <f>$B$3*(Table157[[#This Row],[Players]]-1)+$F$2</f>
        <v>8500</v>
      </c>
      <c r="G17" s="2">
        <f>E17*Data!$C$4</f>
        <v>4826.25</v>
      </c>
      <c r="H17" s="2">
        <f>F17*Data!$C$4</f>
        <v>11475</v>
      </c>
      <c r="I17" s="2">
        <f>E17*Data!$C$5</f>
        <v>6256.25</v>
      </c>
      <c r="J17" s="4">
        <f>F17*Data!$C$5</f>
        <v>14875</v>
      </c>
    </row>
    <row r="18" spans="4:10" x14ac:dyDescent="0.35">
      <c r="D18" s="3">
        <v>17</v>
      </c>
      <c r="E18" s="2">
        <f>$B$2*(Table157[[#This Row],[Players]]-1)+$E$2</f>
        <v>3770</v>
      </c>
      <c r="F18" s="2">
        <f>$B$3*(Table157[[#This Row],[Players]]-1)+$F$2</f>
        <v>9000</v>
      </c>
      <c r="G18" s="2">
        <f>E18*Data!$C$4</f>
        <v>5089.5</v>
      </c>
      <c r="H18" s="2">
        <f>F18*Data!$C$4</f>
        <v>12150</v>
      </c>
      <c r="I18" s="2">
        <f>E18*Data!$C$5</f>
        <v>6597.5</v>
      </c>
      <c r="J18" s="4">
        <f>F18*Data!$C$5</f>
        <v>15750</v>
      </c>
    </row>
    <row r="19" spans="4:10" x14ac:dyDescent="0.35">
      <c r="D19" s="3">
        <v>18</v>
      </c>
      <c r="E19" s="2">
        <f>$B$2*(Table157[[#This Row],[Players]]-1)+$E$2</f>
        <v>3965</v>
      </c>
      <c r="F19" s="2">
        <f>$B$3*(Table157[[#This Row],[Players]]-1)+$F$2</f>
        <v>9500</v>
      </c>
      <c r="G19" s="2">
        <f>E19*Data!$C$4</f>
        <v>5352.75</v>
      </c>
      <c r="H19" s="2">
        <f>F19*Data!$C$4</f>
        <v>12825</v>
      </c>
      <c r="I19" s="2">
        <f>E19*Data!$C$5</f>
        <v>6938.75</v>
      </c>
      <c r="J19" s="4">
        <f>F19*Data!$C$5</f>
        <v>16625</v>
      </c>
    </row>
    <row r="20" spans="4:10" x14ac:dyDescent="0.35">
      <c r="D20" s="3">
        <v>19</v>
      </c>
      <c r="E20" s="2">
        <f>$B$2*(Table157[[#This Row],[Players]]-1)+$E$2</f>
        <v>4160</v>
      </c>
      <c r="F20" s="2">
        <f>$B$3*(Table157[[#This Row],[Players]]-1)+$F$2</f>
        <v>10000</v>
      </c>
      <c r="G20" s="2">
        <f>E20*Data!$C$4</f>
        <v>5616</v>
      </c>
      <c r="H20" s="2">
        <f>F20*Data!$C$4</f>
        <v>13500</v>
      </c>
      <c r="I20" s="2">
        <f>E20*Data!$C$5</f>
        <v>7280</v>
      </c>
      <c r="J20" s="4">
        <f>F20*Data!$C$5</f>
        <v>17500</v>
      </c>
    </row>
    <row r="21" spans="4:10" x14ac:dyDescent="0.35">
      <c r="D21" s="10">
        <v>20</v>
      </c>
      <c r="E21" s="2">
        <f>$B$2*(Table157[[#This Row],[Players]]-1)+$E$2</f>
        <v>4355</v>
      </c>
      <c r="F21" s="2">
        <f>$B$3*(Table157[[#This Row],[Players]]-1)+$F$2</f>
        <v>10500</v>
      </c>
      <c r="G21" s="11">
        <f>E21*Data!$C$4</f>
        <v>5879.25</v>
      </c>
      <c r="H21" s="11">
        <f>F21*Data!$C$4</f>
        <v>14175.000000000002</v>
      </c>
      <c r="I21" s="11">
        <f>E21*Data!$C$5</f>
        <v>7621.25</v>
      </c>
      <c r="J21" s="12">
        <f>F21*Data!$C$5</f>
        <v>18375</v>
      </c>
    </row>
  </sheetData>
  <pageMargins left="0.7" right="0.7" top="0.75" bottom="0.75" header="0.3" footer="0.3"/>
  <pageSetup paperSize="0" orientation="portrait" horizontalDpi="0" verticalDpi="0" copies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E25" sqref="E25"/>
    </sheetView>
  </sheetViews>
  <sheetFormatPr defaultRowHeight="14.5" x14ac:dyDescent="0.35"/>
  <cols>
    <col min="1" max="1" width="11.08984375" style="1" bestFit="1" customWidth="1"/>
    <col min="2" max="2" width="13.08984375" style="1" customWidth="1"/>
    <col min="3" max="3" width="2" style="1" customWidth="1"/>
    <col min="4" max="4" width="10.453125" style="1" bestFit="1" customWidth="1"/>
    <col min="5" max="5" width="22.90625" style="1" bestFit="1" customWidth="1"/>
    <col min="6" max="6" width="22.36328125" style="1" bestFit="1" customWidth="1"/>
    <col min="7" max="7" width="20.81640625" style="1" bestFit="1" customWidth="1"/>
    <col min="8" max="8" width="20.7265625" style="1" bestFit="1" customWidth="1"/>
    <col min="9" max="9" width="20" style="1" bestFit="1" customWidth="1"/>
    <col min="10" max="10" width="19.90625" style="1" bestFit="1" customWidth="1"/>
    <col min="11" max="16384" width="8.7265625" style="1"/>
  </cols>
  <sheetData>
    <row r="1" spans="1:10" x14ac:dyDescent="0.35">
      <c r="A1" s="1" t="s">
        <v>25</v>
      </c>
      <c r="B1" s="1" t="s">
        <v>7</v>
      </c>
      <c r="D1" s="5" t="s">
        <v>20</v>
      </c>
      <c r="E1" s="6" t="s">
        <v>14</v>
      </c>
      <c r="F1" s="6" t="s">
        <v>15</v>
      </c>
      <c r="G1" s="7" t="s">
        <v>16</v>
      </c>
      <c r="H1" s="7" t="s">
        <v>17</v>
      </c>
      <c r="I1" s="8" t="s">
        <v>18</v>
      </c>
      <c r="J1" s="9" t="s">
        <v>19</v>
      </c>
    </row>
    <row r="2" spans="1:10" x14ac:dyDescent="0.35">
      <c r="A2" s="1" t="s">
        <v>23</v>
      </c>
      <c r="B2" s="1">
        <v>240</v>
      </c>
      <c r="D2" s="3">
        <v>1</v>
      </c>
      <c r="E2" s="2">
        <v>800</v>
      </c>
      <c r="F2" s="2">
        <v>1500</v>
      </c>
      <c r="G2" s="2">
        <f>E2*Data!C4</f>
        <v>1080</v>
      </c>
      <c r="H2" s="2">
        <f>F2*Data!C4</f>
        <v>2025.0000000000002</v>
      </c>
      <c r="I2" s="2">
        <f>E2*Data!C5</f>
        <v>1400</v>
      </c>
      <c r="J2" s="4">
        <f>F2*Data!C5</f>
        <v>2625</v>
      </c>
    </row>
    <row r="3" spans="1:10" x14ac:dyDescent="0.35">
      <c r="A3" s="1" t="s">
        <v>24</v>
      </c>
      <c r="B3" s="1">
        <v>750</v>
      </c>
      <c r="D3" s="3">
        <v>2</v>
      </c>
      <c r="E3" s="2">
        <f>$B$2*(Table15[[#This Row],[Players]]-1)+$E$2</f>
        <v>1040</v>
      </c>
      <c r="F3" s="2">
        <f>$B$3*(Table15[[#This Row],[Players]]-1)+$F$2</f>
        <v>2250</v>
      </c>
      <c r="G3" s="2">
        <f>E3*Data!$C$4</f>
        <v>1404</v>
      </c>
      <c r="H3" s="2">
        <f>F3*Data!$C$4</f>
        <v>3037.5</v>
      </c>
      <c r="I3" s="2">
        <f>E3*Data!$C$5</f>
        <v>1820</v>
      </c>
      <c r="J3" s="4">
        <f>F3*Data!$C$5</f>
        <v>3937.5</v>
      </c>
    </row>
    <row r="4" spans="1:10" x14ac:dyDescent="0.35">
      <c r="D4" s="3">
        <v>3</v>
      </c>
      <c r="E4" s="2">
        <f>$B$2*(Table15[[#This Row],[Players]]-1)+$E$2</f>
        <v>1280</v>
      </c>
      <c r="F4" s="2">
        <f>$B$3*(Table15[[#This Row],[Players]]-1)+$F$2</f>
        <v>3000</v>
      </c>
      <c r="G4" s="2">
        <f>E4*Data!$C$4</f>
        <v>1728</v>
      </c>
      <c r="H4" s="2">
        <f>F4*Data!$C$4</f>
        <v>4050.0000000000005</v>
      </c>
      <c r="I4" s="2">
        <f>E4*Data!$C$5</f>
        <v>2240</v>
      </c>
      <c r="J4" s="4">
        <f>F4*Data!$C$5</f>
        <v>5250</v>
      </c>
    </row>
    <row r="5" spans="1:10" x14ac:dyDescent="0.35">
      <c r="D5" s="3">
        <v>4</v>
      </c>
      <c r="E5" s="2">
        <f>$B$2*(Table15[[#This Row],[Players]]-1)+$E$2</f>
        <v>1520</v>
      </c>
      <c r="F5" s="2">
        <f>$B$3*(Table15[[#This Row],[Players]]-1)+$F$2</f>
        <v>3750</v>
      </c>
      <c r="G5" s="2">
        <f>E5*Data!$C$4</f>
        <v>2052</v>
      </c>
      <c r="H5" s="2">
        <f>F5*Data!$C$4</f>
        <v>5062.5</v>
      </c>
      <c r="I5" s="2">
        <f>E5*Data!$C$5</f>
        <v>2660</v>
      </c>
      <c r="J5" s="4">
        <f>F5*Data!$C$5</f>
        <v>6562.5</v>
      </c>
    </row>
    <row r="6" spans="1:10" x14ac:dyDescent="0.35">
      <c r="D6" s="3">
        <v>5</v>
      </c>
      <c r="E6" s="2">
        <f>$B$2*(Table15[[#This Row],[Players]]-1)+$E$2</f>
        <v>1760</v>
      </c>
      <c r="F6" s="2">
        <f>$B$3*(Table15[[#This Row],[Players]]-1)+$F$2</f>
        <v>4500</v>
      </c>
      <c r="G6" s="2">
        <f>E6*Data!$C$4</f>
        <v>2376</v>
      </c>
      <c r="H6" s="2">
        <f>F6*Data!$C$4</f>
        <v>6075</v>
      </c>
      <c r="I6" s="2">
        <f>E6*Data!$C$5</f>
        <v>3080</v>
      </c>
      <c r="J6" s="4">
        <f>F6*Data!$C$5</f>
        <v>7875</v>
      </c>
    </row>
    <row r="7" spans="1:10" x14ac:dyDescent="0.35">
      <c r="D7" s="3">
        <v>6</v>
      </c>
      <c r="E7" s="2">
        <f>$B$2*(Table15[[#This Row],[Players]]-1)+$E$2</f>
        <v>2000</v>
      </c>
      <c r="F7" s="2">
        <f>$B$3*(Table15[[#This Row],[Players]]-1)+$F$2</f>
        <v>5250</v>
      </c>
      <c r="G7" s="2">
        <f>E7*Data!$C$4</f>
        <v>2700</v>
      </c>
      <c r="H7" s="2">
        <f>F7*Data!$C$4</f>
        <v>7087.5000000000009</v>
      </c>
      <c r="I7" s="2">
        <f>E7*Data!$C$5</f>
        <v>3500</v>
      </c>
      <c r="J7" s="4">
        <f>F7*Data!$C$5</f>
        <v>9187.5</v>
      </c>
    </row>
    <row r="8" spans="1:10" x14ac:dyDescent="0.35">
      <c r="D8" s="3">
        <v>7</v>
      </c>
      <c r="E8" s="2">
        <f>$B$2*(Table15[[#This Row],[Players]]-1)+$E$2</f>
        <v>2240</v>
      </c>
      <c r="F8" s="2">
        <f>$B$3*(Table15[[#This Row],[Players]]-1)+$F$2</f>
        <v>6000</v>
      </c>
      <c r="G8" s="2">
        <f>E8*Data!$C$4</f>
        <v>3024</v>
      </c>
      <c r="H8" s="2">
        <f>F8*Data!$C$4</f>
        <v>8100.0000000000009</v>
      </c>
      <c r="I8" s="2">
        <f>E8*Data!$C$5</f>
        <v>3920</v>
      </c>
      <c r="J8" s="4">
        <f>F8*Data!$C$5</f>
        <v>10500</v>
      </c>
    </row>
    <row r="9" spans="1:10" x14ac:dyDescent="0.35">
      <c r="D9" s="3">
        <v>8</v>
      </c>
      <c r="E9" s="2">
        <f>$B$2*(Table15[[#This Row],[Players]]-1)+$E$2</f>
        <v>2480</v>
      </c>
      <c r="F9" s="2">
        <f>$B$3*(Table15[[#This Row],[Players]]-1)+$F$2</f>
        <v>6750</v>
      </c>
      <c r="G9" s="2">
        <f>E9*Data!$C$4</f>
        <v>3348</v>
      </c>
      <c r="H9" s="2">
        <f>F9*Data!$C$4</f>
        <v>9112.5</v>
      </c>
      <c r="I9" s="2">
        <f>E9*Data!$C$5</f>
        <v>4340</v>
      </c>
      <c r="J9" s="4">
        <f>F9*Data!$C$5</f>
        <v>11812.5</v>
      </c>
    </row>
    <row r="10" spans="1:10" x14ac:dyDescent="0.35">
      <c r="D10" s="3">
        <v>9</v>
      </c>
      <c r="E10" s="2">
        <f>$B$2*(Table15[[#This Row],[Players]]-1)+$E$2</f>
        <v>2720</v>
      </c>
      <c r="F10" s="2">
        <f>$B$3*(Table15[[#This Row],[Players]]-1)+$F$2</f>
        <v>7500</v>
      </c>
      <c r="G10" s="2">
        <f>E10*Data!$C$4</f>
        <v>3672.0000000000005</v>
      </c>
      <c r="H10" s="2">
        <f>F10*Data!$C$4</f>
        <v>10125</v>
      </c>
      <c r="I10" s="2">
        <f>E10*Data!$C$5</f>
        <v>4760</v>
      </c>
      <c r="J10" s="4">
        <f>F10*Data!$C$5</f>
        <v>13125</v>
      </c>
    </row>
    <row r="11" spans="1:10" x14ac:dyDescent="0.35">
      <c r="D11" s="3">
        <v>10</v>
      </c>
      <c r="E11" s="2">
        <f>$B$2*(Table15[[#This Row],[Players]]-1)+$E$2</f>
        <v>2960</v>
      </c>
      <c r="F11" s="2">
        <f>$B$3*(Table15[[#This Row],[Players]]-1)+$F$2</f>
        <v>8250</v>
      </c>
      <c r="G11" s="2">
        <f>E11*Data!$C$4</f>
        <v>3996.0000000000005</v>
      </c>
      <c r="H11" s="2">
        <f>F11*Data!$C$4</f>
        <v>11137.5</v>
      </c>
      <c r="I11" s="2">
        <f>E11*Data!$C$5</f>
        <v>5180</v>
      </c>
      <c r="J11" s="4">
        <f>F11*Data!$C$5</f>
        <v>14437.5</v>
      </c>
    </row>
    <row r="12" spans="1:10" x14ac:dyDescent="0.35">
      <c r="D12" s="3">
        <v>11</v>
      </c>
      <c r="E12" s="2">
        <f>$B$2*(Table15[[#This Row],[Players]]-1)+$E$2</f>
        <v>3200</v>
      </c>
      <c r="F12" s="2">
        <f>$B$3*(Table15[[#This Row],[Players]]-1)+$F$2</f>
        <v>9000</v>
      </c>
      <c r="G12" s="2">
        <f>E12*Data!$C$4</f>
        <v>4320</v>
      </c>
      <c r="H12" s="2">
        <f>F12*Data!$C$4</f>
        <v>12150</v>
      </c>
      <c r="I12" s="2">
        <f>E12*Data!$C$5</f>
        <v>5600</v>
      </c>
      <c r="J12" s="4">
        <f>F12*Data!$C$5</f>
        <v>15750</v>
      </c>
    </row>
    <row r="13" spans="1:10" x14ac:dyDescent="0.35">
      <c r="D13" s="3">
        <v>12</v>
      </c>
      <c r="E13" s="2">
        <f>$B$2*(Table15[[#This Row],[Players]]-1)+$E$2</f>
        <v>3440</v>
      </c>
      <c r="F13" s="2">
        <f>$B$3*(Table15[[#This Row],[Players]]-1)+$F$2</f>
        <v>9750</v>
      </c>
      <c r="G13" s="2">
        <f>E13*Data!$C$4</f>
        <v>4644</v>
      </c>
      <c r="H13" s="2">
        <f>F13*Data!$C$4</f>
        <v>13162.5</v>
      </c>
      <c r="I13" s="2">
        <f>E13*Data!$C$5</f>
        <v>6020</v>
      </c>
      <c r="J13" s="4">
        <f>F13*Data!$C$5</f>
        <v>17062.5</v>
      </c>
    </row>
    <row r="14" spans="1:10" x14ac:dyDescent="0.35">
      <c r="D14" s="3">
        <v>13</v>
      </c>
      <c r="E14" s="2">
        <f>$B$2*(Table15[[#This Row],[Players]]-1)+$E$2</f>
        <v>3680</v>
      </c>
      <c r="F14" s="2">
        <f>$B$3*(Table15[[#This Row],[Players]]-1)+$F$2</f>
        <v>10500</v>
      </c>
      <c r="G14" s="2">
        <f>E14*Data!$C$4</f>
        <v>4968</v>
      </c>
      <c r="H14" s="2">
        <f>F14*Data!$C$4</f>
        <v>14175.000000000002</v>
      </c>
      <c r="I14" s="2">
        <f>E14*Data!$C$5</f>
        <v>6440</v>
      </c>
      <c r="J14" s="4">
        <f>F14*Data!$C$5</f>
        <v>18375</v>
      </c>
    </row>
    <row r="15" spans="1:10" x14ac:dyDescent="0.35">
      <c r="D15" s="3">
        <v>14</v>
      </c>
      <c r="E15" s="2">
        <f>$B$2*(Table15[[#This Row],[Players]]-1)+$E$2</f>
        <v>3920</v>
      </c>
      <c r="F15" s="2">
        <f>$B$3*(Table15[[#This Row],[Players]]-1)+$F$2</f>
        <v>11250</v>
      </c>
      <c r="G15" s="2">
        <f>E15*Data!$C$4</f>
        <v>5292</v>
      </c>
      <c r="H15" s="2">
        <f>F15*Data!$C$4</f>
        <v>15187.500000000002</v>
      </c>
      <c r="I15" s="2">
        <f>E15*Data!$C$5</f>
        <v>6860</v>
      </c>
      <c r="J15" s="4">
        <f>F15*Data!$C$5</f>
        <v>19687.5</v>
      </c>
    </row>
    <row r="16" spans="1:10" x14ac:dyDescent="0.35">
      <c r="D16" s="3">
        <v>15</v>
      </c>
      <c r="E16" s="2">
        <f>$B$2*(Table15[[#This Row],[Players]]-1)+$E$2</f>
        <v>4160</v>
      </c>
      <c r="F16" s="2">
        <f>$B$3*(Table15[[#This Row],[Players]]-1)+$F$2</f>
        <v>12000</v>
      </c>
      <c r="G16" s="2">
        <f>E16*Data!$C$4</f>
        <v>5616</v>
      </c>
      <c r="H16" s="2">
        <f>F16*Data!$C$4</f>
        <v>16200.000000000002</v>
      </c>
      <c r="I16" s="2">
        <f>E16*Data!$C$5</f>
        <v>7280</v>
      </c>
      <c r="J16" s="4">
        <f>F16*Data!$C$5</f>
        <v>21000</v>
      </c>
    </row>
    <row r="17" spans="4:10" x14ac:dyDescent="0.35">
      <c r="D17" s="3">
        <v>16</v>
      </c>
      <c r="E17" s="2">
        <f>$B$2*(Table15[[#This Row],[Players]]-1)+$E$2</f>
        <v>4400</v>
      </c>
      <c r="F17" s="2">
        <f>$B$3*(Table15[[#This Row],[Players]]-1)+$F$2</f>
        <v>12750</v>
      </c>
      <c r="G17" s="2">
        <f>E17*Data!$C$4</f>
        <v>5940</v>
      </c>
      <c r="H17" s="2">
        <f>F17*Data!$C$4</f>
        <v>17212.5</v>
      </c>
      <c r="I17" s="2">
        <f>E17*Data!$C$5</f>
        <v>7700</v>
      </c>
      <c r="J17" s="4">
        <f>F17*Data!$C$5</f>
        <v>22312.5</v>
      </c>
    </row>
    <row r="18" spans="4:10" x14ac:dyDescent="0.35">
      <c r="D18" s="3">
        <v>17</v>
      </c>
      <c r="E18" s="2">
        <f>$B$2*(Table15[[#This Row],[Players]]-1)+$E$2</f>
        <v>4640</v>
      </c>
      <c r="F18" s="2">
        <f>$B$3*(Table15[[#This Row],[Players]]-1)+$F$2</f>
        <v>13500</v>
      </c>
      <c r="G18" s="2">
        <f>E18*Data!$C$4</f>
        <v>6264</v>
      </c>
      <c r="H18" s="2">
        <f>F18*Data!$C$4</f>
        <v>18225</v>
      </c>
      <c r="I18" s="2">
        <f>E18*Data!$C$5</f>
        <v>8120</v>
      </c>
      <c r="J18" s="4">
        <f>F18*Data!$C$5</f>
        <v>23625</v>
      </c>
    </row>
    <row r="19" spans="4:10" x14ac:dyDescent="0.35">
      <c r="D19" s="3">
        <v>18</v>
      </c>
      <c r="E19" s="2">
        <f>$B$2*(Table15[[#This Row],[Players]]-1)+$E$2</f>
        <v>4880</v>
      </c>
      <c r="F19" s="2">
        <f>$B$3*(Table15[[#This Row],[Players]]-1)+$F$2</f>
        <v>14250</v>
      </c>
      <c r="G19" s="2">
        <f>E19*Data!$C$4</f>
        <v>6588</v>
      </c>
      <c r="H19" s="2">
        <f>F19*Data!$C$4</f>
        <v>19237.5</v>
      </c>
      <c r="I19" s="2">
        <f>E19*Data!$C$5</f>
        <v>8540</v>
      </c>
      <c r="J19" s="4">
        <f>F19*Data!$C$5</f>
        <v>24937.5</v>
      </c>
    </row>
    <row r="20" spans="4:10" x14ac:dyDescent="0.35">
      <c r="D20" s="3">
        <v>19</v>
      </c>
      <c r="E20" s="2">
        <f>$B$2*(Table15[[#This Row],[Players]]-1)+$E$2</f>
        <v>5120</v>
      </c>
      <c r="F20" s="2">
        <f>$B$3*(Table15[[#This Row],[Players]]-1)+$F$2</f>
        <v>15000</v>
      </c>
      <c r="G20" s="2">
        <f>E20*Data!$C$4</f>
        <v>6912</v>
      </c>
      <c r="H20" s="2">
        <f>F20*Data!$C$4</f>
        <v>20250</v>
      </c>
      <c r="I20" s="2">
        <f>E20*Data!$C$5</f>
        <v>8960</v>
      </c>
      <c r="J20" s="4">
        <f>F20*Data!$C$5</f>
        <v>26250</v>
      </c>
    </row>
    <row r="21" spans="4:10" x14ac:dyDescent="0.35">
      <c r="D21" s="10">
        <v>20</v>
      </c>
      <c r="E21" s="2">
        <f>$B$2*(Table15[[#This Row],[Players]]-1)+$E$2</f>
        <v>5360</v>
      </c>
      <c r="F21" s="2">
        <f>$B$3*(Table15[[#This Row],[Players]]-1)+$F$2</f>
        <v>15750</v>
      </c>
      <c r="G21" s="11">
        <f>E21*Data!$C$4</f>
        <v>7236.0000000000009</v>
      </c>
      <c r="H21" s="11">
        <f>F21*Data!$C$4</f>
        <v>21262.5</v>
      </c>
      <c r="I21" s="11">
        <f>E21*Data!$C$5</f>
        <v>9380</v>
      </c>
      <c r="J21" s="12">
        <f>F21*Data!$C$5</f>
        <v>27562.5</v>
      </c>
    </row>
  </sheetData>
  <pageMargins left="0.7" right="0.7" top="0.75" bottom="0.75" header="0.3" footer="0.3"/>
  <pageSetup paperSize="0" orientation="portrait" horizontalDpi="0" verticalDpi="0" copies="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E25" sqref="E25"/>
    </sheetView>
  </sheetViews>
  <sheetFormatPr defaultRowHeight="14.5" x14ac:dyDescent="0.35"/>
  <cols>
    <col min="1" max="1" width="11.08984375" style="1" bestFit="1" customWidth="1"/>
    <col min="2" max="2" width="13.08984375" style="1" customWidth="1"/>
    <col min="3" max="3" width="2" style="1" customWidth="1"/>
    <col min="4" max="4" width="10.453125" style="1" bestFit="1" customWidth="1"/>
    <col min="5" max="5" width="22.90625" style="1" bestFit="1" customWidth="1"/>
    <col min="6" max="6" width="22.36328125" style="1" bestFit="1" customWidth="1"/>
    <col min="7" max="7" width="20.81640625" style="1" bestFit="1" customWidth="1"/>
    <col min="8" max="8" width="20.7265625" style="1" bestFit="1" customWidth="1"/>
    <col min="9" max="9" width="20" style="1" bestFit="1" customWidth="1"/>
    <col min="10" max="10" width="19.90625" style="1" bestFit="1" customWidth="1"/>
    <col min="11" max="16384" width="8.7265625" style="1"/>
  </cols>
  <sheetData>
    <row r="1" spans="1:10" x14ac:dyDescent="0.35">
      <c r="A1" s="1" t="s">
        <v>25</v>
      </c>
      <c r="B1" s="1" t="s">
        <v>7</v>
      </c>
      <c r="D1" s="5" t="s">
        <v>20</v>
      </c>
      <c r="E1" s="6" t="s">
        <v>14</v>
      </c>
      <c r="F1" s="6" t="s">
        <v>15</v>
      </c>
      <c r="G1" s="7" t="s">
        <v>16</v>
      </c>
      <c r="H1" s="7" t="s">
        <v>17</v>
      </c>
      <c r="I1" s="8" t="s">
        <v>18</v>
      </c>
      <c r="J1" s="9" t="s">
        <v>19</v>
      </c>
    </row>
    <row r="2" spans="1:10" x14ac:dyDescent="0.35">
      <c r="A2" s="1" t="s">
        <v>23</v>
      </c>
      <c r="B2" s="1">
        <v>285</v>
      </c>
      <c r="D2" s="3">
        <v>1</v>
      </c>
      <c r="E2" s="2">
        <v>950</v>
      </c>
      <c r="F2" s="2">
        <v>1750</v>
      </c>
      <c r="G2" s="2">
        <f>E2*Data!C4</f>
        <v>1282.5</v>
      </c>
      <c r="H2" s="2">
        <f>F2*Data!C4</f>
        <v>2362.5</v>
      </c>
      <c r="I2" s="2">
        <f>E2*Data!C5</f>
        <v>1662.5</v>
      </c>
      <c r="J2" s="4">
        <f>F2*Data!C5</f>
        <v>3062.5</v>
      </c>
    </row>
    <row r="3" spans="1:10" x14ac:dyDescent="0.35">
      <c r="A3" s="1" t="s">
        <v>24</v>
      </c>
      <c r="B3" s="1">
        <v>875</v>
      </c>
      <c r="D3" s="3">
        <v>2</v>
      </c>
      <c r="E3" s="2">
        <f>$B$2*(Table159[[#This Row],[Players]]-1)+$E$2</f>
        <v>1235</v>
      </c>
      <c r="F3" s="2">
        <f>$B$3*(Table159[[#This Row],[Players]]-1)+$F$2</f>
        <v>2625</v>
      </c>
      <c r="G3" s="2">
        <f>E3*Data!$C$4</f>
        <v>1667.25</v>
      </c>
      <c r="H3" s="2">
        <f>F3*Data!$C$4</f>
        <v>3543.7500000000005</v>
      </c>
      <c r="I3" s="2">
        <f>E3*Data!$C$5</f>
        <v>2161.25</v>
      </c>
      <c r="J3" s="4">
        <f>F3*Data!$C$5</f>
        <v>4593.75</v>
      </c>
    </row>
    <row r="4" spans="1:10" x14ac:dyDescent="0.35">
      <c r="D4" s="3">
        <v>3</v>
      </c>
      <c r="E4" s="2">
        <f>$B$2*(Table159[[#This Row],[Players]]-1)+$E$2</f>
        <v>1520</v>
      </c>
      <c r="F4" s="2">
        <f>$B$3*(Table159[[#This Row],[Players]]-1)+$F$2</f>
        <v>3500</v>
      </c>
      <c r="G4" s="2">
        <f>E4*Data!$C$4</f>
        <v>2052</v>
      </c>
      <c r="H4" s="2">
        <f>F4*Data!$C$4</f>
        <v>4725</v>
      </c>
      <c r="I4" s="2">
        <f>E4*Data!$C$5</f>
        <v>2660</v>
      </c>
      <c r="J4" s="4">
        <f>F4*Data!$C$5</f>
        <v>6125</v>
      </c>
    </row>
    <row r="5" spans="1:10" x14ac:dyDescent="0.35">
      <c r="D5" s="3">
        <v>4</v>
      </c>
      <c r="E5" s="2">
        <f>$B$2*(Table159[[#This Row],[Players]]-1)+$E$2</f>
        <v>1805</v>
      </c>
      <c r="F5" s="2">
        <f>$B$3*(Table159[[#This Row],[Players]]-1)+$F$2</f>
        <v>4375</v>
      </c>
      <c r="G5" s="2">
        <f>E5*Data!$C$4</f>
        <v>2436.75</v>
      </c>
      <c r="H5" s="2">
        <f>F5*Data!$C$4</f>
        <v>5906.25</v>
      </c>
      <c r="I5" s="2">
        <f>E5*Data!$C$5</f>
        <v>3158.75</v>
      </c>
      <c r="J5" s="4">
        <f>F5*Data!$C$5</f>
        <v>7656.25</v>
      </c>
    </row>
    <row r="6" spans="1:10" x14ac:dyDescent="0.35">
      <c r="D6" s="3">
        <v>5</v>
      </c>
      <c r="E6" s="2">
        <f>$B$2*(Table159[[#This Row],[Players]]-1)+$E$2</f>
        <v>2090</v>
      </c>
      <c r="F6" s="2">
        <f>$B$3*(Table159[[#This Row],[Players]]-1)+$F$2</f>
        <v>5250</v>
      </c>
      <c r="G6" s="2">
        <f>E6*Data!$C$4</f>
        <v>2821.5</v>
      </c>
      <c r="H6" s="2">
        <f>F6*Data!$C$4</f>
        <v>7087.5000000000009</v>
      </c>
      <c r="I6" s="2">
        <f>E6*Data!$C$5</f>
        <v>3657.5</v>
      </c>
      <c r="J6" s="4">
        <f>F6*Data!$C$5</f>
        <v>9187.5</v>
      </c>
    </row>
    <row r="7" spans="1:10" x14ac:dyDescent="0.35">
      <c r="D7" s="3">
        <v>6</v>
      </c>
      <c r="E7" s="2">
        <f>$B$2*(Table159[[#This Row],[Players]]-1)+$E$2</f>
        <v>2375</v>
      </c>
      <c r="F7" s="2">
        <f>$B$3*(Table159[[#This Row],[Players]]-1)+$F$2</f>
        <v>6125</v>
      </c>
      <c r="G7" s="2">
        <f>E7*Data!$C$4</f>
        <v>3206.25</v>
      </c>
      <c r="H7" s="2">
        <f>F7*Data!$C$4</f>
        <v>8268.75</v>
      </c>
      <c r="I7" s="2">
        <f>E7*Data!$C$5</f>
        <v>4156.25</v>
      </c>
      <c r="J7" s="4">
        <f>F7*Data!$C$5</f>
        <v>10718.75</v>
      </c>
    </row>
    <row r="8" spans="1:10" x14ac:dyDescent="0.35">
      <c r="D8" s="3">
        <v>7</v>
      </c>
      <c r="E8" s="2">
        <f>$B$2*(Table159[[#This Row],[Players]]-1)+$E$2</f>
        <v>2660</v>
      </c>
      <c r="F8" s="2">
        <f>$B$3*(Table159[[#This Row],[Players]]-1)+$F$2</f>
        <v>7000</v>
      </c>
      <c r="G8" s="2">
        <f>E8*Data!$C$4</f>
        <v>3591.0000000000005</v>
      </c>
      <c r="H8" s="2">
        <f>F8*Data!$C$4</f>
        <v>9450</v>
      </c>
      <c r="I8" s="2">
        <f>E8*Data!$C$5</f>
        <v>4655</v>
      </c>
      <c r="J8" s="4">
        <f>F8*Data!$C$5</f>
        <v>12250</v>
      </c>
    </row>
    <row r="9" spans="1:10" x14ac:dyDescent="0.35">
      <c r="D9" s="3">
        <v>8</v>
      </c>
      <c r="E9" s="2">
        <f>$B$2*(Table159[[#This Row],[Players]]-1)+$E$2</f>
        <v>2945</v>
      </c>
      <c r="F9" s="2">
        <f>$B$3*(Table159[[#This Row],[Players]]-1)+$F$2</f>
        <v>7875</v>
      </c>
      <c r="G9" s="2">
        <f>E9*Data!$C$4</f>
        <v>3975.7500000000005</v>
      </c>
      <c r="H9" s="2">
        <f>F9*Data!$C$4</f>
        <v>10631.25</v>
      </c>
      <c r="I9" s="2">
        <f>E9*Data!$C$5</f>
        <v>5153.75</v>
      </c>
      <c r="J9" s="4">
        <f>F9*Data!$C$5</f>
        <v>13781.25</v>
      </c>
    </row>
    <row r="10" spans="1:10" x14ac:dyDescent="0.35">
      <c r="D10" s="3">
        <v>9</v>
      </c>
      <c r="E10" s="2">
        <f>$B$2*(Table159[[#This Row],[Players]]-1)+$E$2</f>
        <v>3230</v>
      </c>
      <c r="F10" s="2">
        <f>$B$3*(Table159[[#This Row],[Players]]-1)+$F$2</f>
        <v>8750</v>
      </c>
      <c r="G10" s="2">
        <f>E10*Data!$C$4</f>
        <v>4360.5</v>
      </c>
      <c r="H10" s="2">
        <f>F10*Data!$C$4</f>
        <v>11812.5</v>
      </c>
      <c r="I10" s="2">
        <f>E10*Data!$C$5</f>
        <v>5652.5</v>
      </c>
      <c r="J10" s="4">
        <f>F10*Data!$C$5</f>
        <v>15312.5</v>
      </c>
    </row>
    <row r="11" spans="1:10" x14ac:dyDescent="0.35">
      <c r="D11" s="3">
        <v>10</v>
      </c>
      <c r="E11" s="2">
        <f>$B$2*(Table159[[#This Row],[Players]]-1)+$E$2</f>
        <v>3515</v>
      </c>
      <c r="F11" s="2">
        <f>$B$3*(Table159[[#This Row],[Players]]-1)+$F$2</f>
        <v>9625</v>
      </c>
      <c r="G11" s="2">
        <f>E11*Data!$C$4</f>
        <v>4745.25</v>
      </c>
      <c r="H11" s="2">
        <f>F11*Data!$C$4</f>
        <v>12993.75</v>
      </c>
      <c r="I11" s="2">
        <f>E11*Data!$C$5</f>
        <v>6151.25</v>
      </c>
      <c r="J11" s="4">
        <f>F11*Data!$C$5</f>
        <v>16843.75</v>
      </c>
    </row>
    <row r="12" spans="1:10" x14ac:dyDescent="0.35">
      <c r="D12" s="3">
        <v>11</v>
      </c>
      <c r="E12" s="2">
        <f>$B$2*(Table159[[#This Row],[Players]]-1)+$E$2</f>
        <v>3800</v>
      </c>
      <c r="F12" s="2">
        <f>$B$3*(Table159[[#This Row],[Players]]-1)+$F$2</f>
        <v>10500</v>
      </c>
      <c r="G12" s="2">
        <f>E12*Data!$C$4</f>
        <v>5130</v>
      </c>
      <c r="H12" s="2">
        <f>F12*Data!$C$4</f>
        <v>14175.000000000002</v>
      </c>
      <c r="I12" s="2">
        <f>E12*Data!$C$5</f>
        <v>6650</v>
      </c>
      <c r="J12" s="4">
        <f>F12*Data!$C$5</f>
        <v>18375</v>
      </c>
    </row>
    <row r="13" spans="1:10" x14ac:dyDescent="0.35">
      <c r="D13" s="3">
        <v>12</v>
      </c>
      <c r="E13" s="2">
        <f>$B$2*(Table159[[#This Row],[Players]]-1)+$E$2</f>
        <v>4085</v>
      </c>
      <c r="F13" s="2">
        <f>$B$3*(Table159[[#This Row],[Players]]-1)+$F$2</f>
        <v>11375</v>
      </c>
      <c r="G13" s="2">
        <f>E13*Data!$C$4</f>
        <v>5514.75</v>
      </c>
      <c r="H13" s="2">
        <f>F13*Data!$C$4</f>
        <v>15356.250000000002</v>
      </c>
      <c r="I13" s="2">
        <f>E13*Data!$C$5</f>
        <v>7148.75</v>
      </c>
      <c r="J13" s="4">
        <f>F13*Data!$C$5</f>
        <v>19906.25</v>
      </c>
    </row>
    <row r="14" spans="1:10" x14ac:dyDescent="0.35">
      <c r="D14" s="3">
        <v>13</v>
      </c>
      <c r="E14" s="2">
        <f>$B$2*(Table159[[#This Row],[Players]]-1)+$E$2</f>
        <v>4370</v>
      </c>
      <c r="F14" s="2">
        <f>$B$3*(Table159[[#This Row],[Players]]-1)+$F$2</f>
        <v>12250</v>
      </c>
      <c r="G14" s="2">
        <f>E14*Data!$C$4</f>
        <v>5899.5</v>
      </c>
      <c r="H14" s="2">
        <f>F14*Data!$C$4</f>
        <v>16537.5</v>
      </c>
      <c r="I14" s="2">
        <f>E14*Data!$C$5</f>
        <v>7647.5</v>
      </c>
      <c r="J14" s="4">
        <f>F14*Data!$C$5</f>
        <v>21437.5</v>
      </c>
    </row>
    <row r="15" spans="1:10" x14ac:dyDescent="0.35">
      <c r="D15" s="3">
        <v>14</v>
      </c>
      <c r="E15" s="2">
        <f>$B$2*(Table159[[#This Row],[Players]]-1)+$E$2</f>
        <v>4655</v>
      </c>
      <c r="F15" s="2">
        <f>$B$3*(Table159[[#This Row],[Players]]-1)+$F$2</f>
        <v>13125</v>
      </c>
      <c r="G15" s="2">
        <f>E15*Data!$C$4</f>
        <v>6284.25</v>
      </c>
      <c r="H15" s="2">
        <f>F15*Data!$C$4</f>
        <v>17718.75</v>
      </c>
      <c r="I15" s="2">
        <f>E15*Data!$C$5</f>
        <v>8146.25</v>
      </c>
      <c r="J15" s="4">
        <f>F15*Data!$C$5</f>
        <v>22968.75</v>
      </c>
    </row>
    <row r="16" spans="1:10" x14ac:dyDescent="0.35">
      <c r="D16" s="3">
        <v>15</v>
      </c>
      <c r="E16" s="2">
        <f>$B$2*(Table159[[#This Row],[Players]]-1)+$E$2</f>
        <v>4940</v>
      </c>
      <c r="F16" s="2">
        <f>$B$3*(Table159[[#This Row],[Players]]-1)+$F$2</f>
        <v>14000</v>
      </c>
      <c r="G16" s="2">
        <f>E16*Data!$C$4</f>
        <v>6669</v>
      </c>
      <c r="H16" s="2">
        <f>F16*Data!$C$4</f>
        <v>18900</v>
      </c>
      <c r="I16" s="2">
        <f>E16*Data!$C$5</f>
        <v>8645</v>
      </c>
      <c r="J16" s="4">
        <f>F16*Data!$C$5</f>
        <v>24500</v>
      </c>
    </row>
    <row r="17" spans="4:10" x14ac:dyDescent="0.35">
      <c r="D17" s="3">
        <v>16</v>
      </c>
      <c r="E17" s="2">
        <f>$B$2*(Table159[[#This Row],[Players]]-1)+$E$2</f>
        <v>5225</v>
      </c>
      <c r="F17" s="2">
        <f>$B$3*(Table159[[#This Row],[Players]]-1)+$F$2</f>
        <v>14875</v>
      </c>
      <c r="G17" s="2">
        <f>E17*Data!$C$4</f>
        <v>7053.7500000000009</v>
      </c>
      <c r="H17" s="2">
        <f>F17*Data!$C$4</f>
        <v>20081.25</v>
      </c>
      <c r="I17" s="2">
        <f>E17*Data!$C$5</f>
        <v>9143.75</v>
      </c>
      <c r="J17" s="4">
        <f>F17*Data!$C$5</f>
        <v>26031.25</v>
      </c>
    </row>
    <row r="18" spans="4:10" x14ac:dyDescent="0.35">
      <c r="D18" s="3">
        <v>17</v>
      </c>
      <c r="E18" s="2">
        <f>$B$2*(Table159[[#This Row],[Players]]-1)+$E$2</f>
        <v>5510</v>
      </c>
      <c r="F18" s="2">
        <f>$B$3*(Table159[[#This Row],[Players]]-1)+$F$2</f>
        <v>15750</v>
      </c>
      <c r="G18" s="2">
        <f>E18*Data!$C$4</f>
        <v>7438.5000000000009</v>
      </c>
      <c r="H18" s="2">
        <f>F18*Data!$C$4</f>
        <v>21262.5</v>
      </c>
      <c r="I18" s="2">
        <f>E18*Data!$C$5</f>
        <v>9642.5</v>
      </c>
      <c r="J18" s="4">
        <f>F18*Data!$C$5</f>
        <v>27562.5</v>
      </c>
    </row>
    <row r="19" spans="4:10" x14ac:dyDescent="0.35">
      <c r="D19" s="3">
        <v>18</v>
      </c>
      <c r="E19" s="2">
        <f>$B$2*(Table159[[#This Row],[Players]]-1)+$E$2</f>
        <v>5795</v>
      </c>
      <c r="F19" s="2">
        <f>$B$3*(Table159[[#This Row],[Players]]-1)+$F$2</f>
        <v>16625</v>
      </c>
      <c r="G19" s="2">
        <f>E19*Data!$C$4</f>
        <v>7823.2500000000009</v>
      </c>
      <c r="H19" s="2">
        <f>F19*Data!$C$4</f>
        <v>22443.75</v>
      </c>
      <c r="I19" s="2">
        <f>E19*Data!$C$5</f>
        <v>10141.25</v>
      </c>
      <c r="J19" s="4">
        <f>F19*Data!$C$5</f>
        <v>29093.75</v>
      </c>
    </row>
    <row r="20" spans="4:10" x14ac:dyDescent="0.35">
      <c r="D20" s="3">
        <v>19</v>
      </c>
      <c r="E20" s="2">
        <f>$B$2*(Table159[[#This Row],[Players]]-1)+$E$2</f>
        <v>6080</v>
      </c>
      <c r="F20" s="2">
        <f>$B$3*(Table159[[#This Row],[Players]]-1)+$F$2</f>
        <v>17500</v>
      </c>
      <c r="G20" s="2">
        <f>E20*Data!$C$4</f>
        <v>8208</v>
      </c>
      <c r="H20" s="2">
        <f>F20*Data!$C$4</f>
        <v>23625</v>
      </c>
      <c r="I20" s="2">
        <f>E20*Data!$C$5</f>
        <v>10640</v>
      </c>
      <c r="J20" s="4">
        <f>F20*Data!$C$5</f>
        <v>30625</v>
      </c>
    </row>
    <row r="21" spans="4:10" x14ac:dyDescent="0.35">
      <c r="D21" s="10">
        <v>20</v>
      </c>
      <c r="E21" s="2">
        <f>$B$2*(Table159[[#This Row],[Players]]-1)+$E$2</f>
        <v>6365</v>
      </c>
      <c r="F21" s="2">
        <f>$B$3*(Table159[[#This Row],[Players]]-1)+$F$2</f>
        <v>18375</v>
      </c>
      <c r="G21" s="11">
        <f>E21*Data!$C$4</f>
        <v>8592.75</v>
      </c>
      <c r="H21" s="11">
        <f>F21*Data!$C$4</f>
        <v>24806.25</v>
      </c>
      <c r="I21" s="11">
        <f>E21*Data!$C$5</f>
        <v>11138.75</v>
      </c>
      <c r="J21" s="12">
        <f>F21*Data!$C$5</f>
        <v>32156.25</v>
      </c>
    </row>
  </sheetData>
  <pageMargins left="0.7" right="0.7" top="0.75" bottom="0.75" header="0.3" footer="0.3"/>
  <pageSetup paperSize="0" orientation="portrait" horizontalDpi="0" verticalDpi="0" copies="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B11" sqref="B11"/>
    </sheetView>
  </sheetViews>
  <sheetFormatPr defaultRowHeight="14.5" x14ac:dyDescent="0.35"/>
  <cols>
    <col min="1" max="1" width="11.08984375" style="1" bestFit="1" customWidth="1"/>
    <col min="2" max="2" width="13.08984375" style="1" customWidth="1"/>
    <col min="3" max="3" width="2" style="1" customWidth="1"/>
    <col min="4" max="4" width="10.453125" style="1" bestFit="1" customWidth="1"/>
    <col min="5" max="5" width="22.90625" style="1" bestFit="1" customWidth="1"/>
    <col min="6" max="6" width="22.36328125" style="1" bestFit="1" customWidth="1"/>
    <col min="7" max="7" width="20.81640625" style="1" bestFit="1" customWidth="1"/>
    <col min="8" max="8" width="20.7265625" style="1" bestFit="1" customWidth="1"/>
    <col min="9" max="9" width="20" style="1" bestFit="1" customWidth="1"/>
    <col min="10" max="10" width="19.90625" style="1" bestFit="1" customWidth="1"/>
    <col min="11" max="16384" width="8.7265625" style="1"/>
  </cols>
  <sheetData>
    <row r="1" spans="1:10" x14ac:dyDescent="0.35">
      <c r="A1" s="1" t="s">
        <v>25</v>
      </c>
      <c r="B1" s="1" t="s">
        <v>7</v>
      </c>
      <c r="D1" s="5" t="s">
        <v>20</v>
      </c>
      <c r="E1" s="6" t="s">
        <v>14</v>
      </c>
      <c r="F1" s="6" t="s">
        <v>15</v>
      </c>
      <c r="G1" s="7" t="s">
        <v>16</v>
      </c>
      <c r="H1" s="7" t="s">
        <v>17</v>
      </c>
      <c r="I1" s="8" t="s">
        <v>18</v>
      </c>
      <c r="J1" s="9" t="s">
        <v>19</v>
      </c>
    </row>
    <row r="2" spans="1:10" x14ac:dyDescent="0.35">
      <c r="A2" s="1" t="s">
        <v>23</v>
      </c>
      <c r="B2" s="1">
        <v>210</v>
      </c>
      <c r="D2" s="3">
        <v>1</v>
      </c>
      <c r="E2" s="2">
        <v>700</v>
      </c>
      <c r="F2" s="2">
        <v>1500</v>
      </c>
      <c r="G2" s="2">
        <f>E2*Data!C4</f>
        <v>945.00000000000011</v>
      </c>
      <c r="H2" s="2">
        <f>F2*Data!C4</f>
        <v>2025.0000000000002</v>
      </c>
      <c r="I2" s="2">
        <f>E2*Data!C5</f>
        <v>1225</v>
      </c>
      <c r="J2" s="4">
        <f>F2*Data!C5</f>
        <v>2625</v>
      </c>
    </row>
    <row r="3" spans="1:10" x14ac:dyDescent="0.35">
      <c r="A3" s="1" t="s">
        <v>24</v>
      </c>
      <c r="B3" s="1">
        <v>375</v>
      </c>
      <c r="D3" s="3">
        <v>2</v>
      </c>
      <c r="E3" s="2">
        <f>$B$2*(Table15915[[#This Row],[Players]]-1)+$E$2</f>
        <v>910</v>
      </c>
      <c r="F3" s="2">
        <f>$B$3*(Table15915[[#This Row],[Players]]-1)+$F$2</f>
        <v>1875</v>
      </c>
      <c r="G3" s="2">
        <f>E3*Data!$C$4</f>
        <v>1228.5</v>
      </c>
      <c r="H3" s="2">
        <f>F3*Data!$C$4</f>
        <v>2531.25</v>
      </c>
      <c r="I3" s="2">
        <f>E3*Data!$C$5</f>
        <v>1592.5</v>
      </c>
      <c r="J3" s="4">
        <f>F3*Data!$C$5</f>
        <v>3281.25</v>
      </c>
    </row>
    <row r="4" spans="1:10" x14ac:dyDescent="0.35">
      <c r="D4" s="3">
        <v>3</v>
      </c>
      <c r="E4" s="2">
        <f>$B$2*(Table15915[[#This Row],[Players]]-1)+$E$2</f>
        <v>1120</v>
      </c>
      <c r="F4" s="2">
        <f>$B$3*(Table15915[[#This Row],[Players]]-1)+$F$2</f>
        <v>2250</v>
      </c>
      <c r="G4" s="2">
        <f>E4*Data!$C$4</f>
        <v>1512</v>
      </c>
      <c r="H4" s="2">
        <f>F4*Data!$C$4</f>
        <v>3037.5</v>
      </c>
      <c r="I4" s="2">
        <f>E4*Data!$C$5</f>
        <v>1960</v>
      </c>
      <c r="J4" s="4">
        <f>F4*Data!$C$5</f>
        <v>3937.5</v>
      </c>
    </row>
    <row r="5" spans="1:10" x14ac:dyDescent="0.35">
      <c r="D5" s="3">
        <v>4</v>
      </c>
      <c r="E5" s="2">
        <f>$B$2*(Table15915[[#This Row],[Players]]-1)+$E$2</f>
        <v>1330</v>
      </c>
      <c r="F5" s="2">
        <f>$B$3*(Table15915[[#This Row],[Players]]-1)+$F$2</f>
        <v>2625</v>
      </c>
      <c r="G5" s="2">
        <f>E5*Data!$C$4</f>
        <v>1795.5000000000002</v>
      </c>
      <c r="H5" s="2">
        <f>F5*Data!$C$4</f>
        <v>3543.7500000000005</v>
      </c>
      <c r="I5" s="2">
        <f>E5*Data!$C$5</f>
        <v>2327.5</v>
      </c>
      <c r="J5" s="4">
        <f>F5*Data!$C$5</f>
        <v>4593.75</v>
      </c>
    </row>
    <row r="6" spans="1:10" x14ac:dyDescent="0.35">
      <c r="D6" s="3">
        <v>5</v>
      </c>
      <c r="E6" s="2">
        <f>$B$2*(Table15915[[#This Row],[Players]]-1)+$E$2</f>
        <v>1540</v>
      </c>
      <c r="F6" s="2">
        <f>$B$3*(Table15915[[#This Row],[Players]]-1)+$F$2</f>
        <v>3000</v>
      </c>
      <c r="G6" s="2">
        <f>E6*Data!$C$4</f>
        <v>2079</v>
      </c>
      <c r="H6" s="2">
        <f>F6*Data!$C$4</f>
        <v>4050.0000000000005</v>
      </c>
      <c r="I6" s="2">
        <f>E6*Data!$C$5</f>
        <v>2695</v>
      </c>
      <c r="J6" s="4">
        <f>F6*Data!$C$5</f>
        <v>5250</v>
      </c>
    </row>
    <row r="7" spans="1:10" x14ac:dyDescent="0.35">
      <c r="D7" s="3">
        <v>6</v>
      </c>
      <c r="E7" s="2">
        <f>$B$2*(Table15915[[#This Row],[Players]]-1)+$E$2</f>
        <v>1750</v>
      </c>
      <c r="F7" s="2">
        <f>$B$3*(Table15915[[#This Row],[Players]]-1)+$F$2</f>
        <v>3375</v>
      </c>
      <c r="G7" s="2">
        <f>E7*Data!$C$4</f>
        <v>2362.5</v>
      </c>
      <c r="H7" s="2">
        <f>F7*Data!$C$4</f>
        <v>4556.25</v>
      </c>
      <c r="I7" s="2">
        <f>E7*Data!$C$5</f>
        <v>3062.5</v>
      </c>
      <c r="J7" s="4">
        <f>F7*Data!$C$5</f>
        <v>5906.25</v>
      </c>
    </row>
    <row r="8" spans="1:10" x14ac:dyDescent="0.35">
      <c r="D8" s="3">
        <v>7</v>
      </c>
      <c r="E8" s="2">
        <f>$B$2*(Table15915[[#This Row],[Players]]-1)+$E$2</f>
        <v>1960</v>
      </c>
      <c r="F8" s="2">
        <f>$B$3*(Table15915[[#This Row],[Players]]-1)+$F$2</f>
        <v>3750</v>
      </c>
      <c r="G8" s="2">
        <f>E8*Data!$C$4</f>
        <v>2646</v>
      </c>
      <c r="H8" s="2">
        <f>F8*Data!$C$4</f>
        <v>5062.5</v>
      </c>
      <c r="I8" s="2">
        <f>E8*Data!$C$5</f>
        <v>3430</v>
      </c>
      <c r="J8" s="4">
        <f>F8*Data!$C$5</f>
        <v>6562.5</v>
      </c>
    </row>
    <row r="9" spans="1:10" x14ac:dyDescent="0.35">
      <c r="D9" s="3">
        <v>8</v>
      </c>
      <c r="E9" s="2">
        <f>$B$2*(Table15915[[#This Row],[Players]]-1)+$E$2</f>
        <v>2170</v>
      </c>
      <c r="F9" s="2">
        <f>$B$3*(Table15915[[#This Row],[Players]]-1)+$F$2</f>
        <v>4125</v>
      </c>
      <c r="G9" s="2">
        <f>E9*Data!$C$4</f>
        <v>2929.5</v>
      </c>
      <c r="H9" s="2">
        <f>F9*Data!$C$4</f>
        <v>5568.75</v>
      </c>
      <c r="I9" s="2">
        <f>E9*Data!$C$5</f>
        <v>3797.5</v>
      </c>
      <c r="J9" s="4">
        <f>F9*Data!$C$5</f>
        <v>7218.75</v>
      </c>
    </row>
    <row r="10" spans="1:10" x14ac:dyDescent="0.35">
      <c r="D10" s="3">
        <v>9</v>
      </c>
      <c r="E10" s="2">
        <f>$B$2*(Table15915[[#This Row],[Players]]-1)+$E$2</f>
        <v>2380</v>
      </c>
      <c r="F10" s="2">
        <f>$B$3*(Table15915[[#This Row],[Players]]-1)+$F$2</f>
        <v>4500</v>
      </c>
      <c r="G10" s="2">
        <f>E10*Data!$C$4</f>
        <v>3213</v>
      </c>
      <c r="H10" s="2">
        <f>F10*Data!$C$4</f>
        <v>6075</v>
      </c>
      <c r="I10" s="2">
        <f>E10*Data!$C$5</f>
        <v>4165</v>
      </c>
      <c r="J10" s="4">
        <f>F10*Data!$C$5</f>
        <v>7875</v>
      </c>
    </row>
    <row r="11" spans="1:10" x14ac:dyDescent="0.35">
      <c r="D11" s="3">
        <v>10</v>
      </c>
      <c r="E11" s="2">
        <f>$B$2*(Table15915[[#This Row],[Players]]-1)+$E$2</f>
        <v>2590</v>
      </c>
      <c r="F11" s="2">
        <f>$B$3*(Table15915[[#This Row],[Players]]-1)+$F$2</f>
        <v>4875</v>
      </c>
      <c r="G11" s="2">
        <f>E11*Data!$C$4</f>
        <v>3496.5000000000005</v>
      </c>
      <c r="H11" s="2">
        <f>F11*Data!$C$4</f>
        <v>6581.25</v>
      </c>
      <c r="I11" s="2">
        <f>E11*Data!$C$5</f>
        <v>4532.5</v>
      </c>
      <c r="J11" s="4">
        <f>F11*Data!$C$5</f>
        <v>8531.25</v>
      </c>
    </row>
    <row r="12" spans="1:10" x14ac:dyDescent="0.35">
      <c r="D12" s="3">
        <v>11</v>
      </c>
      <c r="E12" s="2">
        <f>$B$2*(Table15915[[#This Row],[Players]]-1)+$E$2</f>
        <v>2800</v>
      </c>
      <c r="F12" s="2">
        <f>$B$3*(Table15915[[#This Row],[Players]]-1)+$F$2</f>
        <v>5250</v>
      </c>
      <c r="G12" s="2">
        <f>E12*Data!$C$4</f>
        <v>3780.0000000000005</v>
      </c>
      <c r="H12" s="2">
        <f>F12*Data!$C$4</f>
        <v>7087.5000000000009</v>
      </c>
      <c r="I12" s="2">
        <f>E12*Data!$C$5</f>
        <v>4900</v>
      </c>
      <c r="J12" s="4">
        <f>F12*Data!$C$5</f>
        <v>9187.5</v>
      </c>
    </row>
    <row r="13" spans="1:10" x14ac:dyDescent="0.35">
      <c r="D13" s="3">
        <v>12</v>
      </c>
      <c r="E13" s="2">
        <f>$B$2*(Table15915[[#This Row],[Players]]-1)+$E$2</f>
        <v>3010</v>
      </c>
      <c r="F13" s="2">
        <f>$B$3*(Table15915[[#This Row],[Players]]-1)+$F$2</f>
        <v>5625</v>
      </c>
      <c r="G13" s="2">
        <f>E13*Data!$C$4</f>
        <v>4063.5000000000005</v>
      </c>
      <c r="H13" s="2">
        <f>F13*Data!$C$4</f>
        <v>7593.7500000000009</v>
      </c>
      <c r="I13" s="2">
        <f>E13*Data!$C$5</f>
        <v>5267.5</v>
      </c>
      <c r="J13" s="4">
        <f>F13*Data!$C$5</f>
        <v>9843.75</v>
      </c>
    </row>
    <row r="14" spans="1:10" x14ac:dyDescent="0.35">
      <c r="D14" s="3">
        <v>13</v>
      </c>
      <c r="E14" s="2">
        <f>$B$2*(Table15915[[#This Row],[Players]]-1)+$E$2</f>
        <v>3220</v>
      </c>
      <c r="F14" s="2">
        <f>$B$3*(Table15915[[#This Row],[Players]]-1)+$F$2</f>
        <v>6000</v>
      </c>
      <c r="G14" s="2">
        <f>E14*Data!$C$4</f>
        <v>4347</v>
      </c>
      <c r="H14" s="2">
        <f>F14*Data!$C$4</f>
        <v>8100.0000000000009</v>
      </c>
      <c r="I14" s="2">
        <f>E14*Data!$C$5</f>
        <v>5635</v>
      </c>
      <c r="J14" s="4">
        <f>F14*Data!$C$5</f>
        <v>10500</v>
      </c>
    </row>
    <row r="15" spans="1:10" x14ac:dyDescent="0.35">
      <c r="D15" s="3">
        <v>14</v>
      </c>
      <c r="E15" s="2">
        <f>$B$2*(Table15915[[#This Row],[Players]]-1)+$E$2</f>
        <v>3430</v>
      </c>
      <c r="F15" s="2">
        <f>$B$3*(Table15915[[#This Row],[Players]]-1)+$F$2</f>
        <v>6375</v>
      </c>
      <c r="G15" s="2">
        <f>E15*Data!$C$4</f>
        <v>4630.5</v>
      </c>
      <c r="H15" s="2">
        <f>F15*Data!$C$4</f>
        <v>8606.25</v>
      </c>
      <c r="I15" s="2">
        <f>E15*Data!$C$5</f>
        <v>6002.5</v>
      </c>
      <c r="J15" s="4">
        <f>F15*Data!$C$5</f>
        <v>11156.25</v>
      </c>
    </row>
    <row r="16" spans="1:10" x14ac:dyDescent="0.35">
      <c r="D16" s="3">
        <v>15</v>
      </c>
      <c r="E16" s="2">
        <f>$B$2*(Table15915[[#This Row],[Players]]-1)+$E$2</f>
        <v>3640</v>
      </c>
      <c r="F16" s="2">
        <f>$B$3*(Table15915[[#This Row],[Players]]-1)+$F$2</f>
        <v>6750</v>
      </c>
      <c r="G16" s="2">
        <f>E16*Data!$C$4</f>
        <v>4914</v>
      </c>
      <c r="H16" s="2">
        <f>F16*Data!$C$4</f>
        <v>9112.5</v>
      </c>
      <c r="I16" s="2">
        <f>E16*Data!$C$5</f>
        <v>6370</v>
      </c>
      <c r="J16" s="4">
        <f>F16*Data!$C$5</f>
        <v>11812.5</v>
      </c>
    </row>
    <row r="17" spans="4:10" x14ac:dyDescent="0.35">
      <c r="D17" s="3">
        <v>16</v>
      </c>
      <c r="E17" s="2">
        <f>$B$2*(Table15915[[#This Row],[Players]]-1)+$E$2</f>
        <v>3850</v>
      </c>
      <c r="F17" s="2">
        <f>$B$3*(Table15915[[#This Row],[Players]]-1)+$F$2</f>
        <v>7125</v>
      </c>
      <c r="G17" s="2">
        <f>E17*Data!$C$4</f>
        <v>5197.5</v>
      </c>
      <c r="H17" s="2">
        <f>F17*Data!$C$4</f>
        <v>9618.75</v>
      </c>
      <c r="I17" s="2">
        <f>E17*Data!$C$5</f>
        <v>6737.5</v>
      </c>
      <c r="J17" s="4">
        <f>F17*Data!$C$5</f>
        <v>12468.75</v>
      </c>
    </row>
    <row r="18" spans="4:10" x14ac:dyDescent="0.35">
      <c r="D18" s="3">
        <v>17</v>
      </c>
      <c r="E18" s="2">
        <f>$B$2*(Table15915[[#This Row],[Players]]-1)+$E$2</f>
        <v>4060</v>
      </c>
      <c r="F18" s="2">
        <f>$B$3*(Table15915[[#This Row],[Players]]-1)+$F$2</f>
        <v>7500</v>
      </c>
      <c r="G18" s="2">
        <f>E18*Data!$C$4</f>
        <v>5481</v>
      </c>
      <c r="H18" s="2">
        <f>F18*Data!$C$4</f>
        <v>10125</v>
      </c>
      <c r="I18" s="2">
        <f>E18*Data!$C$5</f>
        <v>7105</v>
      </c>
      <c r="J18" s="4">
        <f>F18*Data!$C$5</f>
        <v>13125</v>
      </c>
    </row>
    <row r="19" spans="4:10" x14ac:dyDescent="0.35">
      <c r="D19" s="3">
        <v>18</v>
      </c>
      <c r="E19" s="2">
        <f>$B$2*(Table15915[[#This Row],[Players]]-1)+$E$2</f>
        <v>4270</v>
      </c>
      <c r="F19" s="2">
        <f>$B$3*(Table15915[[#This Row],[Players]]-1)+$F$2</f>
        <v>7875</v>
      </c>
      <c r="G19" s="2">
        <f>E19*Data!$C$4</f>
        <v>5764.5</v>
      </c>
      <c r="H19" s="2">
        <f>F19*Data!$C$4</f>
        <v>10631.25</v>
      </c>
      <c r="I19" s="2">
        <f>E19*Data!$C$5</f>
        <v>7472.5</v>
      </c>
      <c r="J19" s="4">
        <f>F19*Data!$C$5</f>
        <v>13781.25</v>
      </c>
    </row>
    <row r="20" spans="4:10" x14ac:dyDescent="0.35">
      <c r="D20" s="3">
        <v>19</v>
      </c>
      <c r="E20" s="2">
        <f>$B$2*(Table15915[[#This Row],[Players]]-1)+$E$2</f>
        <v>4480</v>
      </c>
      <c r="F20" s="2">
        <f>$B$3*(Table15915[[#This Row],[Players]]-1)+$F$2</f>
        <v>8250</v>
      </c>
      <c r="G20" s="2">
        <f>E20*Data!$C$4</f>
        <v>6048</v>
      </c>
      <c r="H20" s="2">
        <f>F20*Data!$C$4</f>
        <v>11137.5</v>
      </c>
      <c r="I20" s="2">
        <f>E20*Data!$C$5</f>
        <v>7840</v>
      </c>
      <c r="J20" s="4">
        <f>F20*Data!$C$5</f>
        <v>14437.5</v>
      </c>
    </row>
    <row r="21" spans="4:10" x14ac:dyDescent="0.35">
      <c r="D21" s="10">
        <v>20</v>
      </c>
      <c r="E21" s="2">
        <f>$B$2*(Table15915[[#This Row],[Players]]-1)+$E$2</f>
        <v>4690</v>
      </c>
      <c r="F21" s="2">
        <f>$B$3*(Table15915[[#This Row],[Players]]-1)+$F$2</f>
        <v>8625</v>
      </c>
      <c r="G21" s="11">
        <f>E21*Data!$C$4</f>
        <v>6331.5</v>
      </c>
      <c r="H21" s="11">
        <f>F21*Data!$C$4</f>
        <v>11643.75</v>
      </c>
      <c r="I21" s="11">
        <f>E21*Data!$C$5</f>
        <v>8207.5</v>
      </c>
      <c r="J21" s="12">
        <f>F21*Data!$C$5</f>
        <v>15093.75</v>
      </c>
    </row>
  </sheetData>
  <pageMargins left="0.7" right="0.7" top="0.75" bottom="0.75" header="0.3" footer="0.3"/>
  <pageSetup paperSize="0" orientation="portrait" horizontalDpi="0" verticalDpi="0" copies="0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A7" sqref="A7:XFD7"/>
    </sheetView>
  </sheetViews>
  <sheetFormatPr defaultRowHeight="14.5" x14ac:dyDescent="0.35"/>
  <cols>
    <col min="1" max="1" width="11.08984375" style="1" bestFit="1" customWidth="1"/>
    <col min="2" max="2" width="13.08984375" style="1" customWidth="1"/>
    <col min="3" max="3" width="2" style="1" customWidth="1"/>
    <col min="4" max="4" width="10.453125" style="1" bestFit="1" customWidth="1"/>
    <col min="5" max="5" width="22.90625" style="1" bestFit="1" customWidth="1"/>
    <col min="6" max="6" width="22.36328125" style="1" bestFit="1" customWidth="1"/>
    <col min="7" max="7" width="20.81640625" style="1" bestFit="1" customWidth="1"/>
    <col min="8" max="8" width="20.7265625" style="1" bestFit="1" customWidth="1"/>
    <col min="9" max="9" width="20" style="1" bestFit="1" customWidth="1"/>
    <col min="10" max="10" width="19.90625" style="1" bestFit="1" customWidth="1"/>
    <col min="11" max="16384" width="8.7265625" style="1"/>
  </cols>
  <sheetData>
    <row r="1" spans="1:10" x14ac:dyDescent="0.35">
      <c r="A1" s="1" t="s">
        <v>25</v>
      </c>
      <c r="B1" s="1" t="s">
        <v>7</v>
      </c>
      <c r="D1" s="5" t="s">
        <v>20</v>
      </c>
      <c r="E1" s="6" t="s">
        <v>14</v>
      </c>
      <c r="F1" s="6" t="s">
        <v>15</v>
      </c>
      <c r="G1" s="7" t="s">
        <v>16</v>
      </c>
      <c r="H1" s="7" t="s">
        <v>17</v>
      </c>
      <c r="I1" s="8" t="s">
        <v>18</v>
      </c>
      <c r="J1" s="9" t="s">
        <v>19</v>
      </c>
    </row>
    <row r="2" spans="1:10" x14ac:dyDescent="0.35">
      <c r="A2" s="1" t="s">
        <v>23</v>
      </c>
      <c r="B2" s="1">
        <v>240</v>
      </c>
      <c r="D2" s="3">
        <v>1</v>
      </c>
      <c r="E2" s="2">
        <v>800</v>
      </c>
      <c r="F2" s="2">
        <v>1750</v>
      </c>
      <c r="G2" s="2">
        <f>E2*Data!C4</f>
        <v>1080</v>
      </c>
      <c r="H2" s="2">
        <f>F2*Data!C4</f>
        <v>2362.5</v>
      </c>
      <c r="I2" s="2">
        <f>E2*Data!C5</f>
        <v>1400</v>
      </c>
      <c r="J2" s="4">
        <f>F2*Data!C5</f>
        <v>3062.5</v>
      </c>
    </row>
    <row r="3" spans="1:10" x14ac:dyDescent="0.35">
      <c r="A3" s="1" t="s">
        <v>24</v>
      </c>
      <c r="B3" s="1">
        <v>437</v>
      </c>
      <c r="D3" s="3">
        <v>2</v>
      </c>
      <c r="E3" s="2">
        <f>$B$2*(Table1591517[[#This Row],[Players]]-1)+$E$2</f>
        <v>1040</v>
      </c>
      <c r="F3" s="2">
        <f>$B$3*(Table1591517[[#This Row],[Players]]-1)+$F$2</f>
        <v>2187</v>
      </c>
      <c r="G3" s="2">
        <f>E3*Data!$C$4</f>
        <v>1404</v>
      </c>
      <c r="H3" s="2">
        <f>F3*Data!$C$4</f>
        <v>2952.4500000000003</v>
      </c>
      <c r="I3" s="2">
        <f>E3*Data!$C$5</f>
        <v>1820</v>
      </c>
      <c r="J3" s="4">
        <f>F3*Data!$C$5</f>
        <v>3827.25</v>
      </c>
    </row>
    <row r="4" spans="1:10" x14ac:dyDescent="0.35">
      <c r="D4" s="3">
        <v>3</v>
      </c>
      <c r="E4" s="2">
        <f>$B$2*(Table1591517[[#This Row],[Players]]-1)+$E$2</f>
        <v>1280</v>
      </c>
      <c r="F4" s="2">
        <f>$B$3*(Table1591517[[#This Row],[Players]]-1)+$F$2</f>
        <v>2624</v>
      </c>
      <c r="G4" s="2">
        <f>E4*Data!$C$4</f>
        <v>1728</v>
      </c>
      <c r="H4" s="2">
        <f>F4*Data!$C$4</f>
        <v>3542.4</v>
      </c>
      <c r="I4" s="2">
        <f>E4*Data!$C$5</f>
        <v>2240</v>
      </c>
      <c r="J4" s="4">
        <f>F4*Data!$C$5</f>
        <v>4592</v>
      </c>
    </row>
    <row r="5" spans="1:10" x14ac:dyDescent="0.35">
      <c r="D5" s="3">
        <v>4</v>
      </c>
      <c r="E5" s="2">
        <f>$B$2*(Table1591517[[#This Row],[Players]]-1)+$E$2</f>
        <v>1520</v>
      </c>
      <c r="F5" s="2">
        <f>$B$3*(Table1591517[[#This Row],[Players]]-1)+$F$2</f>
        <v>3061</v>
      </c>
      <c r="G5" s="2">
        <f>E5*Data!$C$4</f>
        <v>2052</v>
      </c>
      <c r="H5" s="2">
        <f>F5*Data!$C$4</f>
        <v>4132.3500000000004</v>
      </c>
      <c r="I5" s="2">
        <f>E5*Data!$C$5</f>
        <v>2660</v>
      </c>
      <c r="J5" s="4">
        <f>F5*Data!$C$5</f>
        <v>5356.75</v>
      </c>
    </row>
    <row r="6" spans="1:10" x14ac:dyDescent="0.35">
      <c r="D6" s="3">
        <v>5</v>
      </c>
      <c r="E6" s="2">
        <f>$B$2*(Table1591517[[#This Row],[Players]]-1)+$E$2</f>
        <v>1760</v>
      </c>
      <c r="F6" s="2">
        <f>$B$3*(Table1591517[[#This Row],[Players]]-1)+$F$2</f>
        <v>3498</v>
      </c>
      <c r="G6" s="2">
        <f>E6*Data!$C$4</f>
        <v>2376</v>
      </c>
      <c r="H6" s="2">
        <f>F6*Data!$C$4</f>
        <v>4722.3</v>
      </c>
      <c r="I6" s="2">
        <f>E6*Data!$C$5</f>
        <v>3080</v>
      </c>
      <c r="J6" s="4">
        <f>F6*Data!$C$5</f>
        <v>6121.5</v>
      </c>
    </row>
    <row r="7" spans="1:10" x14ac:dyDescent="0.35">
      <c r="D7" s="3">
        <v>6</v>
      </c>
      <c r="E7" s="2">
        <f>$B$2*(Table1591517[[#This Row],[Players]]-1)+$E$2</f>
        <v>2000</v>
      </c>
      <c r="F7" s="2">
        <f>$B$3*(Table1591517[[#This Row],[Players]]-1)+$F$2</f>
        <v>3935</v>
      </c>
      <c r="G7" s="2">
        <f>E7*Data!$C$4</f>
        <v>2700</v>
      </c>
      <c r="H7" s="2">
        <f>F7*Data!$C$4</f>
        <v>5312.25</v>
      </c>
      <c r="I7" s="2">
        <f>E7*Data!$C$5</f>
        <v>3500</v>
      </c>
      <c r="J7" s="4">
        <f>F7*Data!$C$5</f>
        <v>6886.25</v>
      </c>
    </row>
    <row r="8" spans="1:10" x14ac:dyDescent="0.35">
      <c r="D8" s="3">
        <v>7</v>
      </c>
      <c r="E8" s="2">
        <f>$B$2*(Table1591517[[#This Row],[Players]]-1)+$E$2</f>
        <v>2240</v>
      </c>
      <c r="F8" s="2">
        <f>$B$3*(Table1591517[[#This Row],[Players]]-1)+$F$2</f>
        <v>4372</v>
      </c>
      <c r="G8" s="2">
        <f>E8*Data!$C$4</f>
        <v>3024</v>
      </c>
      <c r="H8" s="2">
        <f>F8*Data!$C$4</f>
        <v>5902.2000000000007</v>
      </c>
      <c r="I8" s="2">
        <f>E8*Data!$C$5</f>
        <v>3920</v>
      </c>
      <c r="J8" s="4">
        <f>F8*Data!$C$5</f>
        <v>7651</v>
      </c>
    </row>
    <row r="9" spans="1:10" x14ac:dyDescent="0.35">
      <c r="D9" s="3">
        <v>8</v>
      </c>
      <c r="E9" s="2">
        <f>$B$2*(Table1591517[[#This Row],[Players]]-1)+$E$2</f>
        <v>2480</v>
      </c>
      <c r="F9" s="2">
        <f>$B$3*(Table1591517[[#This Row],[Players]]-1)+$F$2</f>
        <v>4809</v>
      </c>
      <c r="G9" s="2">
        <f>E9*Data!$C$4</f>
        <v>3348</v>
      </c>
      <c r="H9" s="2">
        <f>F9*Data!$C$4</f>
        <v>6492.1500000000005</v>
      </c>
      <c r="I9" s="2">
        <f>E9*Data!$C$5</f>
        <v>4340</v>
      </c>
      <c r="J9" s="4">
        <f>F9*Data!$C$5</f>
        <v>8415.75</v>
      </c>
    </row>
    <row r="10" spans="1:10" x14ac:dyDescent="0.35">
      <c r="D10" s="3">
        <v>9</v>
      </c>
      <c r="E10" s="2">
        <f>$B$2*(Table1591517[[#This Row],[Players]]-1)+$E$2</f>
        <v>2720</v>
      </c>
      <c r="F10" s="2">
        <f>$B$3*(Table1591517[[#This Row],[Players]]-1)+$F$2</f>
        <v>5246</v>
      </c>
      <c r="G10" s="2">
        <f>E10*Data!$C$4</f>
        <v>3672.0000000000005</v>
      </c>
      <c r="H10" s="2">
        <f>F10*Data!$C$4</f>
        <v>7082.1</v>
      </c>
      <c r="I10" s="2">
        <f>E10*Data!$C$5</f>
        <v>4760</v>
      </c>
      <c r="J10" s="4">
        <f>F10*Data!$C$5</f>
        <v>9180.5</v>
      </c>
    </row>
    <row r="11" spans="1:10" x14ac:dyDescent="0.35">
      <c r="D11" s="3">
        <v>10</v>
      </c>
      <c r="E11" s="2">
        <f>$B$2*(Table1591517[[#This Row],[Players]]-1)+$E$2</f>
        <v>2960</v>
      </c>
      <c r="F11" s="2">
        <f>$B$3*(Table1591517[[#This Row],[Players]]-1)+$F$2</f>
        <v>5683</v>
      </c>
      <c r="G11" s="2">
        <f>E11*Data!$C$4</f>
        <v>3996.0000000000005</v>
      </c>
      <c r="H11" s="2">
        <f>F11*Data!$C$4</f>
        <v>7672.05</v>
      </c>
      <c r="I11" s="2">
        <f>E11*Data!$C$5</f>
        <v>5180</v>
      </c>
      <c r="J11" s="4">
        <f>F11*Data!$C$5</f>
        <v>9945.25</v>
      </c>
    </row>
    <row r="12" spans="1:10" x14ac:dyDescent="0.35">
      <c r="D12" s="3">
        <v>11</v>
      </c>
      <c r="E12" s="2">
        <f>$B$2*(Table1591517[[#This Row],[Players]]-1)+$E$2</f>
        <v>3200</v>
      </c>
      <c r="F12" s="2">
        <f>$B$3*(Table1591517[[#This Row],[Players]]-1)+$F$2</f>
        <v>6120</v>
      </c>
      <c r="G12" s="2">
        <f>E12*Data!$C$4</f>
        <v>4320</v>
      </c>
      <c r="H12" s="2">
        <f>F12*Data!$C$4</f>
        <v>8262</v>
      </c>
      <c r="I12" s="2">
        <f>E12*Data!$C$5</f>
        <v>5600</v>
      </c>
      <c r="J12" s="4">
        <f>F12*Data!$C$5</f>
        <v>10710</v>
      </c>
    </row>
    <row r="13" spans="1:10" x14ac:dyDescent="0.35">
      <c r="D13" s="3">
        <v>12</v>
      </c>
      <c r="E13" s="2">
        <f>$B$2*(Table1591517[[#This Row],[Players]]-1)+$E$2</f>
        <v>3440</v>
      </c>
      <c r="F13" s="2">
        <f>$B$3*(Table1591517[[#This Row],[Players]]-1)+$F$2</f>
        <v>6557</v>
      </c>
      <c r="G13" s="2">
        <f>E13*Data!$C$4</f>
        <v>4644</v>
      </c>
      <c r="H13" s="2">
        <f>F13*Data!$C$4</f>
        <v>8851.9500000000007</v>
      </c>
      <c r="I13" s="2">
        <f>E13*Data!$C$5</f>
        <v>6020</v>
      </c>
      <c r="J13" s="4">
        <f>F13*Data!$C$5</f>
        <v>11474.75</v>
      </c>
    </row>
    <row r="14" spans="1:10" x14ac:dyDescent="0.35">
      <c r="D14" s="3">
        <v>13</v>
      </c>
      <c r="E14" s="2">
        <f>$B$2*(Table1591517[[#This Row],[Players]]-1)+$E$2</f>
        <v>3680</v>
      </c>
      <c r="F14" s="2">
        <f>$B$3*(Table1591517[[#This Row],[Players]]-1)+$F$2</f>
        <v>6994</v>
      </c>
      <c r="G14" s="2">
        <f>E14*Data!$C$4</f>
        <v>4968</v>
      </c>
      <c r="H14" s="2">
        <f>F14*Data!$C$4</f>
        <v>9441.9000000000015</v>
      </c>
      <c r="I14" s="2">
        <f>E14*Data!$C$5</f>
        <v>6440</v>
      </c>
      <c r="J14" s="4">
        <f>F14*Data!$C$5</f>
        <v>12239.5</v>
      </c>
    </row>
    <row r="15" spans="1:10" x14ac:dyDescent="0.35">
      <c r="D15" s="3">
        <v>14</v>
      </c>
      <c r="E15" s="2">
        <f>$B$2*(Table1591517[[#This Row],[Players]]-1)+$E$2</f>
        <v>3920</v>
      </c>
      <c r="F15" s="2">
        <f>$B$3*(Table1591517[[#This Row],[Players]]-1)+$F$2</f>
        <v>7431</v>
      </c>
      <c r="G15" s="2">
        <f>E15*Data!$C$4</f>
        <v>5292</v>
      </c>
      <c r="H15" s="2">
        <f>F15*Data!$C$4</f>
        <v>10031.85</v>
      </c>
      <c r="I15" s="2">
        <f>E15*Data!$C$5</f>
        <v>6860</v>
      </c>
      <c r="J15" s="4">
        <f>F15*Data!$C$5</f>
        <v>13004.25</v>
      </c>
    </row>
    <row r="16" spans="1:10" x14ac:dyDescent="0.35">
      <c r="D16" s="3">
        <v>15</v>
      </c>
      <c r="E16" s="2">
        <f>$B$2*(Table1591517[[#This Row],[Players]]-1)+$E$2</f>
        <v>4160</v>
      </c>
      <c r="F16" s="2">
        <f>$B$3*(Table1591517[[#This Row],[Players]]-1)+$F$2</f>
        <v>7868</v>
      </c>
      <c r="G16" s="2">
        <f>E16*Data!$C$4</f>
        <v>5616</v>
      </c>
      <c r="H16" s="2">
        <f>F16*Data!$C$4</f>
        <v>10621.800000000001</v>
      </c>
      <c r="I16" s="2">
        <f>E16*Data!$C$5</f>
        <v>7280</v>
      </c>
      <c r="J16" s="4">
        <f>F16*Data!$C$5</f>
        <v>13769</v>
      </c>
    </row>
    <row r="17" spans="4:10" x14ac:dyDescent="0.35">
      <c r="D17" s="3">
        <v>16</v>
      </c>
      <c r="E17" s="2">
        <f>$B$2*(Table1591517[[#This Row],[Players]]-1)+$E$2</f>
        <v>4400</v>
      </c>
      <c r="F17" s="2">
        <f>$B$3*(Table1591517[[#This Row],[Players]]-1)+$F$2</f>
        <v>8305</v>
      </c>
      <c r="G17" s="2">
        <f>E17*Data!$C$4</f>
        <v>5940</v>
      </c>
      <c r="H17" s="2">
        <f>F17*Data!$C$4</f>
        <v>11211.75</v>
      </c>
      <c r="I17" s="2">
        <f>E17*Data!$C$5</f>
        <v>7700</v>
      </c>
      <c r="J17" s="4">
        <f>F17*Data!$C$5</f>
        <v>14533.75</v>
      </c>
    </row>
    <row r="18" spans="4:10" x14ac:dyDescent="0.35">
      <c r="D18" s="3">
        <v>17</v>
      </c>
      <c r="E18" s="2">
        <f>$B$2*(Table1591517[[#This Row],[Players]]-1)+$E$2</f>
        <v>4640</v>
      </c>
      <c r="F18" s="2">
        <f>$B$3*(Table1591517[[#This Row],[Players]]-1)+$F$2</f>
        <v>8742</v>
      </c>
      <c r="G18" s="2">
        <f>E18*Data!$C$4</f>
        <v>6264</v>
      </c>
      <c r="H18" s="2">
        <f>F18*Data!$C$4</f>
        <v>11801.7</v>
      </c>
      <c r="I18" s="2">
        <f>E18*Data!$C$5</f>
        <v>8120</v>
      </c>
      <c r="J18" s="4">
        <f>F18*Data!$C$5</f>
        <v>15298.5</v>
      </c>
    </row>
    <row r="19" spans="4:10" x14ac:dyDescent="0.35">
      <c r="D19" s="3">
        <v>18</v>
      </c>
      <c r="E19" s="2">
        <f>$B$2*(Table1591517[[#This Row],[Players]]-1)+$E$2</f>
        <v>4880</v>
      </c>
      <c r="F19" s="2">
        <f>$B$3*(Table1591517[[#This Row],[Players]]-1)+$F$2</f>
        <v>9179</v>
      </c>
      <c r="G19" s="2">
        <f>E19*Data!$C$4</f>
        <v>6588</v>
      </c>
      <c r="H19" s="2">
        <f>F19*Data!$C$4</f>
        <v>12391.650000000001</v>
      </c>
      <c r="I19" s="2">
        <f>E19*Data!$C$5</f>
        <v>8540</v>
      </c>
      <c r="J19" s="4">
        <f>F19*Data!$C$5</f>
        <v>16063.25</v>
      </c>
    </row>
    <row r="20" spans="4:10" x14ac:dyDescent="0.35">
      <c r="D20" s="3">
        <v>19</v>
      </c>
      <c r="E20" s="2">
        <f>$B$2*(Table1591517[[#This Row],[Players]]-1)+$E$2</f>
        <v>5120</v>
      </c>
      <c r="F20" s="2">
        <f>$B$3*(Table1591517[[#This Row],[Players]]-1)+$F$2</f>
        <v>9616</v>
      </c>
      <c r="G20" s="2">
        <f>E20*Data!$C$4</f>
        <v>6912</v>
      </c>
      <c r="H20" s="2">
        <f>F20*Data!$C$4</f>
        <v>12981.6</v>
      </c>
      <c r="I20" s="2">
        <f>E20*Data!$C$5</f>
        <v>8960</v>
      </c>
      <c r="J20" s="4">
        <f>F20*Data!$C$5</f>
        <v>16828</v>
      </c>
    </row>
    <row r="21" spans="4:10" x14ac:dyDescent="0.35">
      <c r="D21" s="10">
        <v>20</v>
      </c>
      <c r="E21" s="2">
        <f>$B$2*(Table1591517[[#This Row],[Players]]-1)+$E$2</f>
        <v>5360</v>
      </c>
      <c r="F21" s="2">
        <f>$B$3*(Table1591517[[#This Row],[Players]]-1)+$F$2</f>
        <v>10053</v>
      </c>
      <c r="G21" s="11">
        <f>E21*Data!$C$4</f>
        <v>7236.0000000000009</v>
      </c>
      <c r="H21" s="11">
        <f>F21*Data!$C$4</f>
        <v>13571.550000000001</v>
      </c>
      <c r="I21" s="11">
        <f>E21*Data!$C$5</f>
        <v>9380</v>
      </c>
      <c r="J21" s="12">
        <f>F21*Data!$C$5</f>
        <v>17592.75</v>
      </c>
    </row>
  </sheetData>
  <pageMargins left="0.7" right="0.7" top="0.75" bottom="0.75" header="0.3" footer="0.3"/>
  <pageSetup paperSize="0" orientation="portrait" horizontalDpi="0" verticalDpi="0" copies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Brute</vt:lpstr>
      <vt:lpstr>Dark Brute</vt:lpstr>
      <vt:lpstr>Scrake</vt:lpstr>
      <vt:lpstr>Jason</vt:lpstr>
      <vt:lpstr>Butcher</vt:lpstr>
      <vt:lpstr>Flesh Pound</vt:lpstr>
      <vt:lpstr>Flesh Pummel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2026-08-11T20:20:05Z</dcterms:modified>
</cp:coreProperties>
</file>